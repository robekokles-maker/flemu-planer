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Y:\FM-Technik\Urlaubplanung Flemu Wz-Mühle\"/>
    </mc:Choice>
  </mc:AlternateContent>
  <xr:revisionPtr revIDLastSave="0" documentId="13_ncr:1_{36806D8B-CEFC-4C82-A334-330C79DB6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tarbeiterabwesenheitsliste" sheetId="1" r:id="rId1"/>
  </sheets>
  <definedNames>
    <definedName name="_xlnm.Print_Area" localSheetId="0">Mitarbeiterabwesenheitsliste!$A$1:$AG$228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17" i="1" l="1"/>
  <c r="AG228" i="1"/>
  <c r="AG226" i="1"/>
  <c r="AG225" i="1"/>
  <c r="AG224" i="1"/>
  <c r="AG222" i="1"/>
  <c r="AG221" i="1"/>
  <c r="AG220" i="1"/>
  <c r="AG218" i="1"/>
  <c r="AG216" i="1"/>
  <c r="AG215" i="1"/>
  <c r="AG214" i="1"/>
  <c r="AG213" i="1"/>
  <c r="AG190" i="1"/>
  <c r="AG188" i="1"/>
  <c r="AG187" i="1"/>
  <c r="AG186" i="1"/>
  <c r="AG184" i="1"/>
  <c r="AG179" i="1"/>
  <c r="AG183" i="1"/>
  <c r="AG182" i="1"/>
  <c r="AG180" i="1"/>
  <c r="AG178" i="1"/>
  <c r="AG177" i="1"/>
  <c r="AG176" i="1"/>
  <c r="AG175" i="1"/>
  <c r="AG152" i="1"/>
  <c r="AG150" i="1"/>
  <c r="AG149" i="1"/>
  <c r="AG148" i="1"/>
  <c r="AG146" i="1"/>
  <c r="AG141" i="1"/>
  <c r="AG145" i="1"/>
  <c r="AG144" i="1"/>
  <c r="AG142" i="1"/>
  <c r="AG140" i="1"/>
  <c r="AG139" i="1"/>
  <c r="AG138" i="1"/>
  <c r="AG137" i="1"/>
  <c r="AG133" i="1"/>
  <c r="AG131" i="1"/>
  <c r="AG130" i="1"/>
  <c r="AG129" i="1"/>
  <c r="AG127" i="1"/>
  <c r="AG122" i="1"/>
  <c r="AG126" i="1"/>
  <c r="AG125" i="1"/>
  <c r="AG123" i="1"/>
  <c r="AG121" i="1"/>
  <c r="AG120" i="1"/>
  <c r="AG119" i="1"/>
  <c r="AG118" i="1"/>
  <c r="AG95" i="1"/>
  <c r="AG93" i="1"/>
  <c r="AG92" i="1"/>
  <c r="AG91" i="1"/>
  <c r="AG89" i="1"/>
  <c r="AG84" i="1"/>
  <c r="AG88" i="1"/>
  <c r="AG87" i="1"/>
  <c r="AG85" i="1"/>
  <c r="AG83" i="1"/>
  <c r="AG82" i="1"/>
  <c r="AG81" i="1"/>
  <c r="AG80" i="1"/>
  <c r="AG57" i="1"/>
  <c r="AG55" i="1"/>
  <c r="AG54" i="1"/>
  <c r="AG53" i="1"/>
  <c r="AG51" i="1"/>
  <c r="AG46" i="1"/>
  <c r="AG50" i="1"/>
  <c r="AG49" i="1"/>
  <c r="AG47" i="1"/>
  <c r="AG45" i="1"/>
  <c r="AG44" i="1"/>
  <c r="AG43" i="1"/>
  <c r="AG42" i="1"/>
  <c r="AG23" i="1"/>
  <c r="AG4" i="1"/>
  <c r="AG19" i="1"/>
  <c r="AG17" i="1"/>
  <c r="AG16" i="1"/>
  <c r="AG15" i="1"/>
  <c r="AG13" i="1"/>
  <c r="AG8" i="1"/>
  <c r="AG12" i="1"/>
  <c r="AG11" i="1"/>
  <c r="AG9" i="1"/>
  <c r="AL29" i="1" s="1"/>
  <c r="AL49" i="1" s="1"/>
  <c r="AG7" i="1"/>
  <c r="AL27" i="1" s="1"/>
  <c r="AL47" i="1" s="1"/>
  <c r="AG6" i="1"/>
  <c r="AL26" i="1" s="1"/>
  <c r="AL46" i="1" s="1"/>
  <c r="AG5" i="1"/>
  <c r="AG31" i="1"/>
  <c r="AG38" i="1"/>
  <c r="AG30" i="1"/>
  <c r="AG26" i="1"/>
  <c r="AG34" i="1"/>
  <c r="AG25" i="1"/>
  <c r="AG32" i="1"/>
  <c r="AG36" i="1"/>
  <c r="AG24" i="1"/>
  <c r="AL25" i="1" s="1"/>
  <c r="AL45" i="1" s="1"/>
  <c r="AG28" i="1"/>
  <c r="AG27" i="1"/>
  <c r="AG35" i="1"/>
  <c r="AG64" i="1"/>
  <c r="AG68" i="1"/>
  <c r="AG69" i="1"/>
  <c r="AG70" i="1"/>
  <c r="AG63" i="1"/>
  <c r="AG72" i="1"/>
  <c r="AG73" i="1"/>
  <c r="AG66" i="1"/>
  <c r="AG74" i="1"/>
  <c r="AG61" i="1"/>
  <c r="AG62" i="1"/>
  <c r="AG65" i="1"/>
  <c r="AG76" i="1"/>
  <c r="AG110" i="1"/>
  <c r="AG104" i="1"/>
  <c r="AG107" i="1"/>
  <c r="AG108" i="1"/>
  <c r="AG101" i="1"/>
  <c r="AG102" i="1"/>
  <c r="AG111" i="1"/>
  <c r="AG106" i="1"/>
  <c r="AG112" i="1"/>
  <c r="AG99" i="1"/>
  <c r="AG100" i="1"/>
  <c r="AG103" i="1"/>
  <c r="AG114" i="1"/>
  <c r="AG165" i="1"/>
  <c r="AG163" i="1"/>
  <c r="AG157" i="1"/>
  <c r="AG169" i="1"/>
  <c r="AG158" i="1"/>
  <c r="AG168" i="1"/>
  <c r="AG161" i="1"/>
  <c r="AG159" i="1"/>
  <c r="AG171" i="1"/>
  <c r="AG160" i="1"/>
  <c r="AG164" i="1"/>
  <c r="AG167" i="1"/>
  <c r="AG156" i="1"/>
  <c r="AG196" i="1"/>
  <c r="AG203" i="1"/>
  <c r="AG197" i="1"/>
  <c r="AG206" i="1"/>
  <c r="AG202" i="1"/>
  <c r="AG205" i="1"/>
  <c r="AG199" i="1"/>
  <c r="AG201" i="1"/>
  <c r="AG207" i="1"/>
  <c r="AG194" i="1"/>
  <c r="AG195" i="1"/>
  <c r="AG198" i="1"/>
  <c r="AG209" i="1"/>
  <c r="AL28" i="1" l="1"/>
  <c r="AL48" i="1" s="1"/>
  <c r="AL31" i="1"/>
  <c r="AL51" i="1" s="1"/>
  <c r="AL32" i="1"/>
  <c r="AL52" i="1" s="1"/>
  <c r="AL37" i="1"/>
  <c r="AL36" i="1"/>
  <c r="AL56" i="1" s="1"/>
  <c r="AL39" i="1"/>
  <c r="AL59" i="1" s="1"/>
  <c r="AL35" i="1"/>
  <c r="AL55" i="1" s="1"/>
  <c r="AL24" i="1"/>
  <c r="AL44" i="1" s="1"/>
  <c r="AL33" i="1"/>
  <c r="AL53" i="1" s="1"/>
  <c r="AL57" i="1" l="1"/>
</calcChain>
</file>

<file path=xl/sharedStrings.xml><?xml version="1.0" encoding="utf-8"?>
<sst xmlns="http://schemas.openxmlformats.org/spreadsheetml/2006/main" count="999" uniqueCount="31">
  <si>
    <t>Mitarbeiterabwesenheitsliste</t>
  </si>
  <si>
    <t>Abwesenheitsdaten</t>
  </si>
  <si>
    <t>Mitarbeitername</t>
  </si>
  <si>
    <t>F</t>
  </si>
  <si>
    <t>S</t>
  </si>
  <si>
    <t>M</t>
  </si>
  <si>
    <t>D</t>
  </si>
  <si>
    <t>Summe</t>
  </si>
  <si>
    <t>Mario Buenger</t>
  </si>
  <si>
    <t>Chris Konrad</t>
  </si>
  <si>
    <t>Jason Hoppe</t>
  </si>
  <si>
    <t>Roberto Kokles</t>
  </si>
  <si>
    <t>Matthias Sack</t>
  </si>
  <si>
    <t>Albert Jalowa</t>
  </si>
  <si>
    <t>Momo Kabar</t>
  </si>
  <si>
    <t>Anabel Röttcher</t>
  </si>
  <si>
    <t>Bruno Kirchmann</t>
  </si>
  <si>
    <t>Marcel Nagy</t>
  </si>
  <si>
    <t>Frank Zillmer</t>
  </si>
  <si>
    <t>Verladung</t>
  </si>
  <si>
    <t>Roggenmühle</t>
  </si>
  <si>
    <t>Azubi´s</t>
  </si>
  <si>
    <t>U</t>
  </si>
  <si>
    <t>Restlicher Urlaubsanspruch</t>
  </si>
  <si>
    <t>Urlaubstage inkl. Vorjahr</t>
  </si>
  <si>
    <t>beantragte Tage</t>
  </si>
  <si>
    <t>plus 3im Januar</t>
  </si>
  <si>
    <t>Naritsa Daenchalyaphum</t>
  </si>
  <si>
    <t>Naritsa Daenchaiyaphum</t>
  </si>
  <si>
    <t>Heiter Jürgens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</si>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</sst>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</font>
    <font>
      <sz val="10"/>
      <name val="Century Gothic"/>
      <family val="2"/>
    </font>
    <font>
      <b/>
      <sz val="22"/>
      <color indexed="63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sz val="12"/>
      <name val="Century Gothic"/>
      <family val="2"/>
    </font>
    <font>
      <b/>
      <i/>
      <sz val="12"/>
      <color indexed="9"/>
      <name val="Century Gothic"/>
      <family val="2"/>
    </font>
    <font>
      <b/>
      <sz val="12"/>
      <color indexed="9"/>
      <name val="Century Gothic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sz val="12"/>
      <color rgb="FFFF000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3"/>
      </right>
      <top style="thin">
        <color indexed="23"/>
      </top>
      <bottom style="thin">
        <color indexed="55"/>
      </bottom>
      <diagonal/>
    </border>
    <border>
      <left style="thin">
        <color indexed="23"/>
      </left>
      <right style="thin">
        <color indexed="22"/>
      </right>
      <top/>
      <bottom style="thin">
        <color indexed="55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3"/>
      </left>
      <right/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2"/>
      </right>
      <top style="thin">
        <color indexed="23"/>
      </top>
      <bottom style="thin">
        <color indexed="55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2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3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indent="2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17" fontId="6" fillId="8" borderId="13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9" fontId="5" fillId="2" borderId="1" xfId="0" applyNumberFormat="1" applyFont="1" applyFill="1" applyBorder="1"/>
    <xf numFmtId="0" fontId="5" fillId="2" borderId="2" xfId="0" applyFont="1" applyFill="1" applyBorder="1" applyAlignment="1">
      <alignment horizontal="right" indent="2"/>
    </xf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right" indent="2"/>
    </xf>
    <xf numFmtId="0" fontId="5" fillId="2" borderId="11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right" indent="2"/>
    </xf>
    <xf numFmtId="0" fontId="5" fillId="2" borderId="7" xfId="0" applyFont="1" applyFill="1" applyBorder="1" applyAlignment="1">
      <alignment horizontal="right" indent="2"/>
    </xf>
    <xf numFmtId="17" fontId="6" fillId="6" borderId="13" xfId="0" applyNumberFormat="1" applyFont="1" applyFill="1" applyBorder="1" applyAlignment="1">
      <alignment horizontal="left" vertical="center"/>
    </xf>
    <xf numFmtId="17" fontId="6" fillId="7" borderId="13" xfId="0" applyNumberFormat="1" applyFont="1" applyFill="1" applyBorder="1" applyAlignment="1">
      <alignment horizontal="left" vertical="center"/>
    </xf>
    <xf numFmtId="0" fontId="5" fillId="9" borderId="0" xfId="0" applyFont="1" applyFill="1"/>
    <xf numFmtId="49" fontId="5" fillId="9" borderId="0" xfId="0" applyNumberFormat="1" applyFont="1" applyFill="1" applyAlignment="1">
      <alignment wrapText="1"/>
    </xf>
    <xf numFmtId="0" fontId="8" fillId="9" borderId="0" xfId="0" applyFont="1" applyFill="1" applyAlignment="1">
      <alignment vertical="center"/>
    </xf>
    <xf numFmtId="49" fontId="5" fillId="3" borderId="3" xfId="0" applyNumberFormat="1" applyFont="1" applyFill="1" applyBorder="1" applyAlignment="1">
      <alignment wrapText="1"/>
    </xf>
    <xf numFmtId="49" fontId="5" fillId="0" borderId="3" xfId="0" applyNumberFormat="1" applyFont="1" applyBorder="1" applyAlignment="1">
      <alignment wrapText="1"/>
    </xf>
    <xf numFmtId="0" fontId="8" fillId="2" borderId="4" xfId="0" applyFont="1" applyFill="1" applyBorder="1" applyAlignment="1">
      <alignment horizontal="center"/>
    </xf>
    <xf numFmtId="49" fontId="5" fillId="0" borderId="5" xfId="0" applyNumberFormat="1" applyFont="1" applyBorder="1" applyAlignment="1">
      <alignment wrapText="1"/>
    </xf>
    <xf numFmtId="0" fontId="5" fillId="2" borderId="14" xfId="0" applyFont="1" applyFill="1" applyBorder="1" applyAlignment="1">
      <alignment horizontal="right" indent="2"/>
    </xf>
    <xf numFmtId="0" fontId="5" fillId="2" borderId="18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right" indent="2"/>
    </xf>
    <xf numFmtId="0" fontId="5" fillId="2" borderId="17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right" indent="2"/>
    </xf>
    <xf numFmtId="0" fontId="5" fillId="10" borderId="16" xfId="0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9" borderId="16" xfId="0" applyFont="1" applyFill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49" fontId="5" fillId="3" borderId="21" xfId="0" applyNumberFormat="1" applyFont="1" applyFill="1" applyBorder="1" applyAlignment="1">
      <alignment wrapText="1"/>
    </xf>
    <xf numFmtId="49" fontId="5" fillId="0" borderId="21" xfId="0" applyNumberFormat="1" applyFont="1" applyBorder="1" applyAlignment="1">
      <alignment wrapText="1"/>
    </xf>
    <xf numFmtId="0" fontId="8" fillId="2" borderId="21" xfId="0" applyFont="1" applyFill="1" applyBorder="1" applyAlignment="1">
      <alignment horizontal="center"/>
    </xf>
    <xf numFmtId="0" fontId="5" fillId="14" borderId="16" xfId="0" applyFont="1" applyFill="1" applyBorder="1" applyAlignment="1">
      <alignment horizontal="center"/>
    </xf>
    <xf numFmtId="0" fontId="5" fillId="15" borderId="16" xfId="0" applyFont="1" applyFill="1" applyBorder="1" applyAlignment="1">
      <alignment horizontal="center"/>
    </xf>
    <xf numFmtId="0" fontId="10" fillId="14" borderId="16" xfId="0" applyFont="1" applyFill="1" applyBorder="1" applyAlignment="1">
      <alignment horizontal="center"/>
    </xf>
    <xf numFmtId="0" fontId="10" fillId="15" borderId="16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13" borderId="22" xfId="0" applyFont="1" applyFill="1" applyBorder="1" applyAlignment="1">
      <alignment horizontal="center" vertical="center" wrapText="1"/>
    </xf>
    <xf numFmtId="49" fontId="8" fillId="2" borderId="19" xfId="0" applyNumberFormat="1" applyFont="1" applyFill="1" applyBorder="1"/>
    <xf numFmtId="49" fontId="8" fillId="2" borderId="20" xfId="0" applyNumberFormat="1" applyFont="1" applyFill="1" applyBorder="1"/>
    <xf numFmtId="49" fontId="5" fillId="3" borderId="23" xfId="0" applyNumberFormat="1" applyFont="1" applyFill="1" applyBorder="1" applyAlignment="1">
      <alignment wrapText="1"/>
    </xf>
    <xf numFmtId="0" fontId="8" fillId="3" borderId="24" xfId="0" applyFont="1" applyFill="1" applyBorder="1" applyAlignment="1">
      <alignment horizontal="center" vertical="center" wrapText="1"/>
    </xf>
    <xf numFmtId="164" fontId="5" fillId="2" borderId="14" xfId="0" applyNumberFormat="1" applyFont="1" applyFill="1" applyBorder="1" applyAlignment="1">
      <alignment horizontal="right" indent="2"/>
    </xf>
    <xf numFmtId="0" fontId="7" fillId="6" borderId="6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5" fillId="2" borderId="1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F8EED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8B2B2"/>
      <rgbColor rgb="00777777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DAB2"/>
      <rgbColor rgb="00F8EED8"/>
      <rgbColor rgb="0099CCFF"/>
      <rgbColor rgb="00FCF9EC"/>
      <rgbColor rgb="00EAEAEA"/>
      <rgbColor rgb="00FBF8EB"/>
      <rgbColor rgb="00C3D2E5"/>
      <rgbColor rgb="0033CCCC"/>
      <rgbColor rgb="0099CC00"/>
      <rgbColor rgb="00FFCC00"/>
      <rgbColor rgb="00FF9900"/>
      <rgbColor rgb="00FF6600"/>
      <rgbColor rgb="004B6B85"/>
      <rgbColor rgb="00757A8B"/>
      <rgbColor rgb="00003366"/>
      <rgbColor rgb="00339966"/>
      <rgbColor rgb="00003300"/>
      <rgbColor rgb="00333300"/>
      <rgbColor rgb="00993300"/>
      <rgbColor rgb="00DDDDDD"/>
      <rgbColor rgb="00333399"/>
      <rgbColor rgb="00333333"/>
    </indexed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238125</xdr:colOff>
      <xdr:row>1</xdr:row>
      <xdr:rowOff>219290</xdr:rowOff>
    </xdr:from>
    <xdr:to>
      <xdr:col>53</xdr:col>
      <xdr:colOff>28575</xdr:colOff>
      <xdr:row>39</xdr:row>
      <xdr:rowOff>34672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BC27B8F-F609-1753-D789-8F3F2FCDC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5850" y="762215"/>
          <a:ext cx="9686925" cy="7854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indexed="60"/>
  </sheetPr>
  <dimension ref="A1:AN252"/>
  <sheetViews>
    <sheetView showGridLines="0" tabSelected="1" zoomScale="120" zoomScaleNormal="120" zoomScaleSheetLayoutView="100" workbookViewId="0">
      <pane ySplit="1" topLeftCell="A170" activePane="bottomLeft" state="frozen"/>
      <selection pane="bottomLeft" activeCell="V176" sqref="V176"/>
    </sheetView>
  </sheetViews>
  <sheetFormatPr baseColWidth="10" defaultColWidth="9.109375" defaultRowHeight="13.2" x14ac:dyDescent="0.25"/>
  <cols>
    <col min="1" max="1" width="30.109375" style="2" customWidth="1"/>
    <col min="2" max="10" width="3" style="3" customWidth="1"/>
    <col min="11" max="11" width="4.5546875" style="3" customWidth="1"/>
    <col min="12" max="12" width="4.44140625" style="3" customWidth="1"/>
    <col min="13" max="13" width="4.109375" style="3" customWidth="1"/>
    <col min="14" max="14" width="3.5546875" style="3" customWidth="1"/>
    <col min="15" max="16" width="4" style="3" customWidth="1"/>
    <col min="17" max="17" width="4.5546875" style="3" customWidth="1"/>
    <col min="18" max="18" width="3.6640625" style="3" customWidth="1"/>
    <col min="19" max="21" width="4.44140625" style="3" customWidth="1"/>
    <col min="22" max="24" width="4.5546875" style="3" customWidth="1"/>
    <col min="25" max="25" width="4.44140625" style="3" customWidth="1"/>
    <col min="26" max="27" width="4.6640625" style="3" customWidth="1"/>
    <col min="28" max="29" width="4.5546875" style="3" customWidth="1"/>
    <col min="30" max="30" width="4.6640625" style="3" customWidth="1"/>
    <col min="31" max="31" width="5.33203125" style="3" customWidth="1"/>
    <col min="32" max="32" width="5.33203125" style="3" bestFit="1" customWidth="1"/>
    <col min="33" max="33" width="13.44140625" style="4" customWidth="1"/>
    <col min="34" max="34" width="18" style="3" customWidth="1"/>
    <col min="35" max="36" width="9.109375" style="1"/>
    <col min="37" max="37" width="29.5546875" style="1" customWidth="1"/>
    <col min="38" max="38" width="33.5546875" style="1" customWidth="1"/>
    <col min="39" max="39" width="20.44140625" style="1" customWidth="1"/>
    <col min="40" max="16384" width="9.109375" style="1"/>
  </cols>
  <sheetData>
    <row r="1" spans="1:40" s="5" customFormat="1" ht="42.75" customHeight="1" x14ac:dyDescent="0.2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"/>
    </row>
    <row r="2" spans="1:40" s="7" customFormat="1" ht="20.100000000000001" customHeight="1" x14ac:dyDescent="0.25">
      <c r="A2" s="10">
        <v>46023</v>
      </c>
      <c r="B2" s="64" t="s">
        <v>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11"/>
      <c r="AI2" s="12"/>
      <c r="AJ2" s="12"/>
      <c r="AK2" s="12"/>
      <c r="AL2" s="12"/>
      <c r="AM2" s="12"/>
      <c r="AN2" s="12"/>
    </row>
    <row r="3" spans="1:40" s="8" customFormat="1" ht="17.100000000000001" customHeight="1" thickBot="1" x14ac:dyDescent="0.35">
      <c r="A3" s="13" t="s">
        <v>2</v>
      </c>
      <c r="B3" s="36" t="s">
        <v>6</v>
      </c>
      <c r="C3" s="36" t="s">
        <v>3</v>
      </c>
      <c r="D3" s="36" t="s">
        <v>4</v>
      </c>
      <c r="E3" s="36" t="s">
        <v>4</v>
      </c>
      <c r="F3" s="36" t="s">
        <v>5</v>
      </c>
      <c r="G3" s="36" t="s">
        <v>6</v>
      </c>
      <c r="H3" s="36" t="s">
        <v>5</v>
      </c>
      <c r="I3" s="36" t="s">
        <v>6</v>
      </c>
      <c r="J3" s="36" t="s">
        <v>3</v>
      </c>
      <c r="K3" s="36" t="s">
        <v>4</v>
      </c>
      <c r="L3" s="36" t="s">
        <v>4</v>
      </c>
      <c r="M3" s="36" t="s">
        <v>5</v>
      </c>
      <c r="N3" s="36" t="s">
        <v>6</v>
      </c>
      <c r="O3" s="36" t="s">
        <v>5</v>
      </c>
      <c r="P3" s="36" t="s">
        <v>6</v>
      </c>
      <c r="Q3" s="36" t="s">
        <v>3</v>
      </c>
      <c r="R3" s="36" t="s">
        <v>4</v>
      </c>
      <c r="S3" s="36" t="s">
        <v>4</v>
      </c>
      <c r="T3" s="36" t="s">
        <v>5</v>
      </c>
      <c r="U3" s="36" t="s">
        <v>6</v>
      </c>
      <c r="V3" s="36" t="s">
        <v>5</v>
      </c>
      <c r="W3" s="36" t="s">
        <v>6</v>
      </c>
      <c r="X3" s="36" t="s">
        <v>3</v>
      </c>
      <c r="Y3" s="36" t="s">
        <v>4</v>
      </c>
      <c r="Z3" s="36" t="s">
        <v>4</v>
      </c>
      <c r="AA3" s="36" t="s">
        <v>5</v>
      </c>
      <c r="AB3" s="36" t="s">
        <v>6</v>
      </c>
      <c r="AC3" s="36" t="s">
        <v>5</v>
      </c>
      <c r="AD3" s="36" t="s">
        <v>6</v>
      </c>
      <c r="AE3" s="36" t="s">
        <v>3</v>
      </c>
      <c r="AF3" s="36" t="s">
        <v>4</v>
      </c>
      <c r="AG3" s="14" t="s">
        <v>7</v>
      </c>
      <c r="AH3" s="15"/>
      <c r="AI3" s="9"/>
      <c r="AJ3" s="9"/>
      <c r="AM3" s="9"/>
      <c r="AN3" s="9"/>
    </row>
    <row r="4" spans="1:40" s="8" customFormat="1" ht="17.100000000000001" customHeight="1" x14ac:dyDescent="0.3">
      <c r="A4" s="27" t="s">
        <v>8</v>
      </c>
      <c r="B4" s="33">
        <v>1</v>
      </c>
      <c r="C4" s="38" t="s">
        <v>22</v>
      </c>
      <c r="D4" s="42">
        <v>3</v>
      </c>
      <c r="E4" s="42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42">
        <v>10</v>
      </c>
      <c r="L4" s="42">
        <v>11</v>
      </c>
      <c r="M4" s="33">
        <v>12</v>
      </c>
      <c r="N4" s="33">
        <v>13</v>
      </c>
      <c r="O4" s="33">
        <v>14</v>
      </c>
      <c r="P4" s="33">
        <v>15</v>
      </c>
      <c r="Q4" s="33">
        <v>16</v>
      </c>
      <c r="R4" s="42">
        <v>17</v>
      </c>
      <c r="S4" s="42">
        <v>18</v>
      </c>
      <c r="T4" s="33">
        <v>19</v>
      </c>
      <c r="U4" s="33">
        <v>20</v>
      </c>
      <c r="V4" s="33">
        <v>21</v>
      </c>
      <c r="W4" s="33">
        <v>22</v>
      </c>
      <c r="X4" s="33">
        <v>23</v>
      </c>
      <c r="Y4" s="42">
        <v>24</v>
      </c>
      <c r="Z4" s="42">
        <v>25</v>
      </c>
      <c r="AA4" s="33">
        <v>26</v>
      </c>
      <c r="AB4" s="33">
        <v>27</v>
      </c>
      <c r="AC4" s="33">
        <v>28</v>
      </c>
      <c r="AD4" s="33">
        <v>29</v>
      </c>
      <c r="AE4" s="33">
        <v>30</v>
      </c>
      <c r="AF4" s="42">
        <v>31</v>
      </c>
      <c r="AG4" s="57">
        <f>COUNTIF($B4:$AF4,"U")</f>
        <v>1</v>
      </c>
      <c r="AH4" s="15"/>
      <c r="AI4" s="9"/>
      <c r="AJ4" s="9"/>
      <c r="AK4" s="53" t="s">
        <v>2</v>
      </c>
      <c r="AL4" s="54" t="s">
        <v>24</v>
      </c>
      <c r="AM4" s="9"/>
      <c r="AN4" s="9"/>
    </row>
    <row r="5" spans="1:40" s="8" customFormat="1" ht="17.100000000000001" customHeight="1" x14ac:dyDescent="0.3">
      <c r="A5" s="28" t="s">
        <v>14</v>
      </c>
      <c r="B5" s="33">
        <v>1</v>
      </c>
      <c r="C5" s="41">
        <v>2</v>
      </c>
      <c r="D5" s="42">
        <v>3</v>
      </c>
      <c r="E5" s="42">
        <v>4</v>
      </c>
      <c r="F5" s="33">
        <v>5</v>
      </c>
      <c r="G5" s="33">
        <v>6</v>
      </c>
      <c r="H5" s="33">
        <v>7</v>
      </c>
      <c r="I5" s="33">
        <v>8</v>
      </c>
      <c r="J5" s="33">
        <v>9</v>
      </c>
      <c r="K5" s="42">
        <v>10</v>
      </c>
      <c r="L5" s="42">
        <v>11</v>
      </c>
      <c r="M5" s="33">
        <v>12</v>
      </c>
      <c r="N5" s="33">
        <v>13</v>
      </c>
      <c r="O5" s="33">
        <v>14</v>
      </c>
      <c r="P5" s="33">
        <v>15</v>
      </c>
      <c r="Q5" s="33">
        <v>16</v>
      </c>
      <c r="R5" s="42">
        <v>17</v>
      </c>
      <c r="S5" s="42">
        <v>18</v>
      </c>
      <c r="T5" s="33">
        <v>19</v>
      </c>
      <c r="U5" s="33">
        <v>20</v>
      </c>
      <c r="V5" s="33">
        <v>21</v>
      </c>
      <c r="W5" s="33">
        <v>22</v>
      </c>
      <c r="X5" s="33">
        <v>23</v>
      </c>
      <c r="Y5" s="42">
        <v>24</v>
      </c>
      <c r="Z5" s="42">
        <v>25</v>
      </c>
      <c r="AA5" s="33">
        <v>26</v>
      </c>
      <c r="AB5" s="33">
        <v>27</v>
      </c>
      <c r="AC5" s="33">
        <v>28</v>
      </c>
      <c r="AD5" s="33">
        <v>29</v>
      </c>
      <c r="AE5" s="33">
        <v>30</v>
      </c>
      <c r="AF5" s="42">
        <v>31</v>
      </c>
      <c r="AG5" s="57">
        <f t="shared" ref="AG5:AG19" si="0">COUNTIF($B5:$AF5,"U")</f>
        <v>0</v>
      </c>
      <c r="AH5" s="15"/>
      <c r="AI5" s="9"/>
      <c r="AJ5" s="9"/>
      <c r="AK5" s="43" t="s">
        <v>8</v>
      </c>
      <c r="AL5" s="50">
        <v>69.5</v>
      </c>
      <c r="AM5" s="9"/>
      <c r="AN5" s="9"/>
    </row>
    <row r="6" spans="1:40" s="8" customFormat="1" ht="17.100000000000001" customHeight="1" x14ac:dyDescent="0.3">
      <c r="A6" s="27" t="s">
        <v>9</v>
      </c>
      <c r="B6" s="33">
        <v>1</v>
      </c>
      <c r="C6" s="41">
        <v>2</v>
      </c>
      <c r="D6" s="42">
        <v>3</v>
      </c>
      <c r="E6" s="42">
        <v>4</v>
      </c>
      <c r="F6" s="33">
        <v>5</v>
      </c>
      <c r="G6" s="33">
        <v>6</v>
      </c>
      <c r="H6" s="33">
        <v>7</v>
      </c>
      <c r="I6" s="33">
        <v>8</v>
      </c>
      <c r="J6" s="33">
        <v>9</v>
      </c>
      <c r="K6" s="42">
        <v>10</v>
      </c>
      <c r="L6" s="42">
        <v>11</v>
      </c>
      <c r="M6" s="33">
        <v>12</v>
      </c>
      <c r="N6" s="33">
        <v>13</v>
      </c>
      <c r="O6" s="33">
        <v>14</v>
      </c>
      <c r="P6" s="33">
        <v>15</v>
      </c>
      <c r="Q6" s="33">
        <v>16</v>
      </c>
      <c r="R6" s="42">
        <v>17</v>
      </c>
      <c r="S6" s="42">
        <v>18</v>
      </c>
      <c r="T6" s="33">
        <v>19</v>
      </c>
      <c r="U6" s="33">
        <v>20</v>
      </c>
      <c r="V6" s="33">
        <v>21</v>
      </c>
      <c r="W6" s="33">
        <v>22</v>
      </c>
      <c r="X6" s="33">
        <v>23</v>
      </c>
      <c r="Y6" s="42">
        <v>24</v>
      </c>
      <c r="Z6" s="42">
        <v>25</v>
      </c>
      <c r="AA6" s="33">
        <v>26</v>
      </c>
      <c r="AB6" s="33">
        <v>27</v>
      </c>
      <c r="AC6" s="33">
        <v>28</v>
      </c>
      <c r="AD6" s="33">
        <v>29</v>
      </c>
      <c r="AE6" s="33">
        <v>30</v>
      </c>
      <c r="AF6" s="42">
        <v>31</v>
      </c>
      <c r="AG6" s="57">
        <f t="shared" si="0"/>
        <v>0</v>
      </c>
      <c r="AH6" s="15"/>
      <c r="AI6" s="9"/>
      <c r="AJ6" s="9"/>
      <c r="AK6" s="44" t="s">
        <v>14</v>
      </c>
      <c r="AL6" s="51">
        <v>18</v>
      </c>
      <c r="AM6" s="9"/>
      <c r="AN6" s="9"/>
    </row>
    <row r="7" spans="1:40" s="8" customFormat="1" ht="17.100000000000001" customHeight="1" x14ac:dyDescent="0.3">
      <c r="A7" s="28" t="s">
        <v>10</v>
      </c>
      <c r="B7" s="33">
        <v>1</v>
      </c>
      <c r="C7" s="41">
        <v>2</v>
      </c>
      <c r="D7" s="42">
        <v>3</v>
      </c>
      <c r="E7" s="42">
        <v>4</v>
      </c>
      <c r="F7" s="33">
        <v>5</v>
      </c>
      <c r="G7" s="33">
        <v>6</v>
      </c>
      <c r="H7" s="33">
        <v>7</v>
      </c>
      <c r="I7" s="33">
        <v>8</v>
      </c>
      <c r="J7" s="33">
        <v>9</v>
      </c>
      <c r="K7" s="42">
        <v>10</v>
      </c>
      <c r="L7" s="42">
        <v>11</v>
      </c>
      <c r="M7" s="33">
        <v>12</v>
      </c>
      <c r="N7" s="33">
        <v>13</v>
      </c>
      <c r="O7" s="33">
        <v>14</v>
      </c>
      <c r="P7" s="33">
        <v>15</v>
      </c>
      <c r="Q7" s="33">
        <v>16</v>
      </c>
      <c r="R7" s="42">
        <v>17</v>
      </c>
      <c r="S7" s="42">
        <v>18</v>
      </c>
      <c r="T7" s="33">
        <v>19</v>
      </c>
      <c r="U7" s="33">
        <v>20</v>
      </c>
      <c r="V7" s="33">
        <v>21</v>
      </c>
      <c r="W7" s="33">
        <v>22</v>
      </c>
      <c r="X7" s="33">
        <v>23</v>
      </c>
      <c r="Y7" s="42">
        <v>24</v>
      </c>
      <c r="Z7" s="42">
        <v>25</v>
      </c>
      <c r="AA7" s="33">
        <v>26</v>
      </c>
      <c r="AB7" s="33">
        <v>27</v>
      </c>
      <c r="AC7" s="33">
        <v>28</v>
      </c>
      <c r="AD7" s="33">
        <v>29</v>
      </c>
      <c r="AE7" s="33">
        <v>30</v>
      </c>
      <c r="AF7" s="42">
        <v>31</v>
      </c>
      <c r="AG7" s="57">
        <f t="shared" si="0"/>
        <v>0</v>
      </c>
      <c r="AH7" s="15"/>
      <c r="AJ7" s="9"/>
      <c r="AK7" s="43" t="s">
        <v>9</v>
      </c>
      <c r="AL7" s="50">
        <v>45</v>
      </c>
      <c r="AM7" s="9"/>
      <c r="AN7" s="9"/>
    </row>
    <row r="8" spans="1:40" s="8" customFormat="1" ht="17.100000000000001" customHeight="1" x14ac:dyDescent="0.3">
      <c r="A8" s="27" t="s">
        <v>15</v>
      </c>
      <c r="B8" s="33">
        <v>1</v>
      </c>
      <c r="C8" s="41">
        <v>2</v>
      </c>
      <c r="D8" s="42">
        <v>3</v>
      </c>
      <c r="E8" s="42">
        <v>4</v>
      </c>
      <c r="F8" s="33">
        <v>5</v>
      </c>
      <c r="G8" s="33">
        <v>6</v>
      </c>
      <c r="H8" s="33">
        <v>7</v>
      </c>
      <c r="I8" s="33">
        <v>8</v>
      </c>
      <c r="J8" s="33">
        <v>9</v>
      </c>
      <c r="K8" s="42">
        <v>10</v>
      </c>
      <c r="L8" s="42">
        <v>11</v>
      </c>
      <c r="M8" s="33">
        <v>12</v>
      </c>
      <c r="N8" s="33">
        <v>13</v>
      </c>
      <c r="O8" s="33">
        <v>14</v>
      </c>
      <c r="P8" s="33">
        <v>15</v>
      </c>
      <c r="Q8" s="33">
        <v>16</v>
      </c>
      <c r="R8" s="42">
        <v>17</v>
      </c>
      <c r="S8" s="42">
        <v>18</v>
      </c>
      <c r="T8" s="33">
        <v>19</v>
      </c>
      <c r="U8" s="33">
        <v>20</v>
      </c>
      <c r="V8" s="33">
        <v>21</v>
      </c>
      <c r="W8" s="33">
        <v>22</v>
      </c>
      <c r="X8" s="33">
        <v>23</v>
      </c>
      <c r="Y8" s="42">
        <v>24</v>
      </c>
      <c r="Z8" s="42">
        <v>25</v>
      </c>
      <c r="AA8" s="40" t="s">
        <v>22</v>
      </c>
      <c r="AB8" s="40" t="s">
        <v>22</v>
      </c>
      <c r="AC8" s="40" t="s">
        <v>22</v>
      </c>
      <c r="AD8" s="40" t="s">
        <v>22</v>
      </c>
      <c r="AE8" s="40" t="s">
        <v>22</v>
      </c>
      <c r="AF8" s="42">
        <v>31</v>
      </c>
      <c r="AG8" s="57">
        <f>COUNTIF($B8:$AF8,"U")</f>
        <v>5</v>
      </c>
      <c r="AH8" s="15"/>
      <c r="AJ8" s="9"/>
      <c r="AK8" s="44" t="s">
        <v>10</v>
      </c>
      <c r="AL8" s="51">
        <v>40</v>
      </c>
      <c r="AM8" s="9"/>
      <c r="AN8" s="9"/>
    </row>
    <row r="9" spans="1:40" s="8" customFormat="1" ht="17.100000000000001" customHeight="1" x14ac:dyDescent="0.3">
      <c r="A9" s="28" t="s">
        <v>29</v>
      </c>
      <c r="B9" s="33">
        <v>1</v>
      </c>
      <c r="C9" s="41">
        <v>2</v>
      </c>
      <c r="D9" s="42">
        <v>3</v>
      </c>
      <c r="E9" s="42">
        <v>4</v>
      </c>
      <c r="F9" s="33">
        <v>5</v>
      </c>
      <c r="G9" s="33">
        <v>6</v>
      </c>
      <c r="H9" s="33">
        <v>7</v>
      </c>
      <c r="I9" s="33">
        <v>8</v>
      </c>
      <c r="J9" s="33">
        <v>9</v>
      </c>
      <c r="K9" s="42">
        <v>10</v>
      </c>
      <c r="L9" s="42">
        <v>11</v>
      </c>
      <c r="M9" s="33">
        <v>12</v>
      </c>
      <c r="N9" s="33">
        <v>13</v>
      </c>
      <c r="O9" s="33">
        <v>14</v>
      </c>
      <c r="P9" s="33">
        <v>15</v>
      </c>
      <c r="Q9" s="33">
        <v>16</v>
      </c>
      <c r="R9" s="42">
        <v>17</v>
      </c>
      <c r="S9" s="42">
        <v>18</v>
      </c>
      <c r="T9" s="33">
        <v>19</v>
      </c>
      <c r="U9" s="33">
        <v>20</v>
      </c>
      <c r="V9" s="33">
        <v>21</v>
      </c>
      <c r="W9" s="33">
        <v>22</v>
      </c>
      <c r="X9" s="33">
        <v>23</v>
      </c>
      <c r="Y9" s="42">
        <v>24</v>
      </c>
      <c r="Z9" s="42">
        <v>25</v>
      </c>
      <c r="AA9" s="33">
        <v>26</v>
      </c>
      <c r="AB9" s="33">
        <v>27</v>
      </c>
      <c r="AC9" s="33">
        <v>28</v>
      </c>
      <c r="AD9" s="33">
        <v>29</v>
      </c>
      <c r="AE9" s="33">
        <v>30</v>
      </c>
      <c r="AF9" s="42">
        <v>31</v>
      </c>
      <c r="AG9" s="57">
        <f t="shared" si="0"/>
        <v>0</v>
      </c>
      <c r="AJ9" s="9"/>
      <c r="AK9" s="43" t="s">
        <v>15</v>
      </c>
      <c r="AL9" s="50">
        <v>39</v>
      </c>
      <c r="AM9" s="9"/>
      <c r="AN9" s="9"/>
    </row>
    <row r="10" spans="1:40" s="8" customFormat="1" ht="17.100000000000001" customHeight="1" x14ac:dyDescent="0.3">
      <c r="A10" s="29" t="s">
        <v>21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57"/>
      <c r="AH10" s="15"/>
      <c r="AK10" s="44" t="s">
        <v>29</v>
      </c>
      <c r="AL10" s="51">
        <v>0</v>
      </c>
      <c r="AM10" s="24"/>
      <c r="AN10" s="9"/>
    </row>
    <row r="11" spans="1:40" s="8" customFormat="1" ht="17.100000000000001" customHeight="1" x14ac:dyDescent="0.3">
      <c r="A11" s="30" t="s">
        <v>28</v>
      </c>
      <c r="B11" s="33">
        <v>1</v>
      </c>
      <c r="C11" s="41">
        <v>2</v>
      </c>
      <c r="D11" s="42">
        <v>3</v>
      </c>
      <c r="E11" s="42">
        <v>4</v>
      </c>
      <c r="F11" s="33">
        <v>5</v>
      </c>
      <c r="G11" s="33">
        <v>6</v>
      </c>
      <c r="H11" s="33">
        <v>7</v>
      </c>
      <c r="I11" s="33">
        <v>8</v>
      </c>
      <c r="J11" s="33">
        <v>9</v>
      </c>
      <c r="K11" s="42">
        <v>10</v>
      </c>
      <c r="L11" s="42">
        <v>11</v>
      </c>
      <c r="M11" s="33">
        <v>12</v>
      </c>
      <c r="N11" s="33">
        <v>13</v>
      </c>
      <c r="O11" s="33">
        <v>14</v>
      </c>
      <c r="P11" s="33">
        <v>15</v>
      </c>
      <c r="Q11" s="33">
        <v>16</v>
      </c>
      <c r="R11" s="42">
        <v>17</v>
      </c>
      <c r="S11" s="42">
        <v>18</v>
      </c>
      <c r="T11" s="33">
        <v>19</v>
      </c>
      <c r="U11" s="33">
        <v>20</v>
      </c>
      <c r="V11" s="33">
        <v>21</v>
      </c>
      <c r="W11" s="33">
        <v>22</v>
      </c>
      <c r="X11" s="33">
        <v>23</v>
      </c>
      <c r="Y11" s="42">
        <v>24</v>
      </c>
      <c r="Z11" s="42">
        <v>25</v>
      </c>
      <c r="AA11" s="33">
        <v>26</v>
      </c>
      <c r="AB11" s="33">
        <v>27</v>
      </c>
      <c r="AC11" s="33">
        <v>28</v>
      </c>
      <c r="AD11" s="33">
        <v>29</v>
      </c>
      <c r="AE11" s="33">
        <v>30</v>
      </c>
      <c r="AF11" s="42">
        <v>31</v>
      </c>
      <c r="AG11" s="57">
        <f t="shared" si="0"/>
        <v>0</v>
      </c>
      <c r="AH11" s="15"/>
      <c r="AI11" s="9"/>
      <c r="AJ11" s="9"/>
      <c r="AK11" s="45" t="s">
        <v>21</v>
      </c>
      <c r="AL11" s="52"/>
      <c r="AM11" s="24"/>
      <c r="AN11" s="9"/>
    </row>
    <row r="12" spans="1:40" s="8" customFormat="1" ht="17.100000000000001" customHeight="1" x14ac:dyDescent="0.3">
      <c r="A12" s="27" t="s">
        <v>17</v>
      </c>
      <c r="B12" s="33">
        <v>1</v>
      </c>
      <c r="C12" s="41">
        <v>2</v>
      </c>
      <c r="D12" s="42">
        <v>3</v>
      </c>
      <c r="E12" s="42">
        <v>4</v>
      </c>
      <c r="F12" s="33">
        <v>5</v>
      </c>
      <c r="G12" s="33">
        <v>6</v>
      </c>
      <c r="H12" s="33">
        <v>7</v>
      </c>
      <c r="I12" s="33">
        <v>8</v>
      </c>
      <c r="J12" s="33">
        <v>9</v>
      </c>
      <c r="K12" s="42">
        <v>10</v>
      </c>
      <c r="L12" s="42">
        <v>11</v>
      </c>
      <c r="M12" s="33">
        <v>12</v>
      </c>
      <c r="N12" s="33">
        <v>13</v>
      </c>
      <c r="O12" s="33">
        <v>14</v>
      </c>
      <c r="P12" s="33">
        <v>15</v>
      </c>
      <c r="Q12" s="33">
        <v>16</v>
      </c>
      <c r="R12" s="42">
        <v>17</v>
      </c>
      <c r="S12" s="42">
        <v>18</v>
      </c>
      <c r="T12" s="33">
        <v>19</v>
      </c>
      <c r="U12" s="33">
        <v>20</v>
      </c>
      <c r="V12" s="33">
        <v>21</v>
      </c>
      <c r="W12" s="33">
        <v>22</v>
      </c>
      <c r="X12" s="33">
        <v>23</v>
      </c>
      <c r="Y12" s="42">
        <v>24</v>
      </c>
      <c r="Z12" s="42">
        <v>25</v>
      </c>
      <c r="AA12" s="33">
        <v>26</v>
      </c>
      <c r="AB12" s="33">
        <v>27</v>
      </c>
      <c r="AC12" s="33">
        <v>28</v>
      </c>
      <c r="AD12" s="33">
        <v>29</v>
      </c>
      <c r="AE12" s="33">
        <v>30</v>
      </c>
      <c r="AF12" s="42">
        <v>31</v>
      </c>
      <c r="AG12" s="57">
        <f t="shared" si="0"/>
        <v>0</v>
      </c>
      <c r="AH12" s="15"/>
      <c r="AI12" s="9"/>
      <c r="AJ12" s="9"/>
      <c r="AK12" s="44" t="s">
        <v>27</v>
      </c>
      <c r="AL12" s="51">
        <v>11</v>
      </c>
      <c r="AM12" s="25"/>
      <c r="AN12" s="9"/>
    </row>
    <row r="13" spans="1:40" s="8" customFormat="1" ht="17.100000000000001" customHeight="1" x14ac:dyDescent="0.3">
      <c r="A13" s="30" t="s">
        <v>16</v>
      </c>
      <c r="B13" s="33">
        <v>1</v>
      </c>
      <c r="C13" s="47" t="s">
        <v>22</v>
      </c>
      <c r="D13" s="42">
        <v>3</v>
      </c>
      <c r="E13" s="42">
        <v>4</v>
      </c>
      <c r="F13" s="33">
        <v>5</v>
      </c>
      <c r="G13" s="33">
        <v>6</v>
      </c>
      <c r="H13" s="33">
        <v>7</v>
      </c>
      <c r="I13" s="33">
        <v>8</v>
      </c>
      <c r="J13" s="47" t="s">
        <v>22</v>
      </c>
      <c r="K13" s="42">
        <v>10</v>
      </c>
      <c r="L13" s="42">
        <v>11</v>
      </c>
      <c r="M13" s="33">
        <v>12</v>
      </c>
      <c r="N13" s="33">
        <v>13</v>
      </c>
      <c r="O13" s="33">
        <v>14</v>
      </c>
      <c r="P13" s="33">
        <v>15</v>
      </c>
      <c r="Q13" s="47" t="s">
        <v>22</v>
      </c>
      <c r="R13" s="42">
        <v>17</v>
      </c>
      <c r="S13" s="42">
        <v>18</v>
      </c>
      <c r="T13" s="33">
        <v>19</v>
      </c>
      <c r="U13" s="33">
        <v>20</v>
      </c>
      <c r="V13" s="33">
        <v>21</v>
      </c>
      <c r="W13" s="33">
        <v>22</v>
      </c>
      <c r="X13" s="33">
        <v>23</v>
      </c>
      <c r="Y13" s="42">
        <v>24</v>
      </c>
      <c r="Z13" s="42">
        <v>25</v>
      </c>
      <c r="AA13" s="33">
        <v>26</v>
      </c>
      <c r="AB13" s="33">
        <v>27</v>
      </c>
      <c r="AC13" s="33">
        <v>28</v>
      </c>
      <c r="AD13" s="33">
        <v>29</v>
      </c>
      <c r="AE13" s="33">
        <v>30</v>
      </c>
      <c r="AF13" s="42">
        <v>31</v>
      </c>
      <c r="AG13" s="57">
        <f t="shared" si="0"/>
        <v>3</v>
      </c>
      <c r="AH13" s="15"/>
      <c r="AI13" s="9"/>
      <c r="AJ13" s="9"/>
      <c r="AK13" s="43" t="s">
        <v>17</v>
      </c>
      <c r="AL13" s="50">
        <v>40.5</v>
      </c>
      <c r="AM13" s="25"/>
      <c r="AN13" s="9"/>
    </row>
    <row r="14" spans="1:40" s="8" customFormat="1" ht="17.100000000000001" customHeight="1" x14ac:dyDescent="0.3">
      <c r="A14" s="29" t="s">
        <v>20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57"/>
      <c r="AH14" s="15"/>
      <c r="AI14" s="9"/>
      <c r="AJ14" s="9"/>
      <c r="AK14" s="44" t="s">
        <v>16</v>
      </c>
      <c r="AL14" s="51">
        <v>34.5</v>
      </c>
    </row>
    <row r="15" spans="1:40" s="8" customFormat="1" ht="17.100000000000001" customHeight="1" x14ac:dyDescent="0.3">
      <c r="A15" s="27" t="s">
        <v>11</v>
      </c>
      <c r="B15" s="33">
        <v>1</v>
      </c>
      <c r="C15" s="41">
        <v>2</v>
      </c>
      <c r="D15" s="42">
        <v>3</v>
      </c>
      <c r="E15" s="42">
        <v>4</v>
      </c>
      <c r="F15" s="33">
        <v>5</v>
      </c>
      <c r="G15" s="33">
        <v>6</v>
      </c>
      <c r="H15" s="33">
        <v>7</v>
      </c>
      <c r="I15" s="33">
        <v>8</v>
      </c>
      <c r="J15" s="33">
        <v>9</v>
      </c>
      <c r="K15" s="38">
        <v>10</v>
      </c>
      <c r="L15" s="38">
        <v>11</v>
      </c>
      <c r="M15" s="38" t="s">
        <v>22</v>
      </c>
      <c r="N15" s="38" t="s">
        <v>22</v>
      </c>
      <c r="O15" s="38" t="s">
        <v>22</v>
      </c>
      <c r="P15" s="38" t="s">
        <v>22</v>
      </c>
      <c r="Q15" s="38" t="s">
        <v>22</v>
      </c>
      <c r="R15" s="38">
        <v>17</v>
      </c>
      <c r="S15" s="38">
        <v>18</v>
      </c>
      <c r="T15" s="33">
        <v>19</v>
      </c>
      <c r="U15" s="33">
        <v>20</v>
      </c>
      <c r="V15" s="33">
        <v>21</v>
      </c>
      <c r="W15" s="33">
        <v>22</v>
      </c>
      <c r="X15" s="33">
        <v>23</v>
      </c>
      <c r="Y15" s="42">
        <v>24</v>
      </c>
      <c r="Z15" s="42">
        <v>25</v>
      </c>
      <c r="AA15" s="33">
        <v>26</v>
      </c>
      <c r="AB15" s="33">
        <v>27</v>
      </c>
      <c r="AC15" s="33">
        <v>28</v>
      </c>
      <c r="AD15" s="33">
        <v>29</v>
      </c>
      <c r="AE15" s="33">
        <v>30</v>
      </c>
      <c r="AF15" s="42">
        <v>31</v>
      </c>
      <c r="AG15" s="57">
        <f t="shared" si="0"/>
        <v>5</v>
      </c>
      <c r="AH15" s="15"/>
      <c r="AI15" s="9"/>
      <c r="AJ15" s="9"/>
      <c r="AK15" s="45" t="s">
        <v>20</v>
      </c>
      <c r="AL15" s="52"/>
      <c r="AM15" s="25"/>
      <c r="AN15" s="9"/>
    </row>
    <row r="16" spans="1:40" s="8" customFormat="1" ht="17.100000000000001" customHeight="1" x14ac:dyDescent="0.3">
      <c r="A16" s="28" t="s">
        <v>12</v>
      </c>
      <c r="B16" s="33">
        <v>1</v>
      </c>
      <c r="C16" s="46" t="s">
        <v>22</v>
      </c>
      <c r="D16" s="42">
        <v>3</v>
      </c>
      <c r="E16" s="42">
        <v>4</v>
      </c>
      <c r="F16" s="33">
        <v>5</v>
      </c>
      <c r="G16" s="33">
        <v>6</v>
      </c>
      <c r="H16" s="33">
        <v>7</v>
      </c>
      <c r="I16" s="33">
        <v>8</v>
      </c>
      <c r="J16" s="33">
        <v>9</v>
      </c>
      <c r="K16" s="42">
        <v>10</v>
      </c>
      <c r="L16" s="42">
        <v>11</v>
      </c>
      <c r="M16" s="33">
        <v>12</v>
      </c>
      <c r="N16" s="33">
        <v>13</v>
      </c>
      <c r="O16" s="33">
        <v>14</v>
      </c>
      <c r="P16" s="33">
        <v>15</v>
      </c>
      <c r="Q16" s="33">
        <v>16</v>
      </c>
      <c r="R16" s="42">
        <v>17</v>
      </c>
      <c r="S16" s="42">
        <v>18</v>
      </c>
      <c r="T16" s="33">
        <v>19</v>
      </c>
      <c r="U16" s="33">
        <v>20</v>
      </c>
      <c r="V16" s="33">
        <v>21</v>
      </c>
      <c r="W16" s="33">
        <v>22</v>
      </c>
      <c r="X16" s="33">
        <v>23</v>
      </c>
      <c r="Y16" s="42">
        <v>24</v>
      </c>
      <c r="Z16" s="42">
        <v>25</v>
      </c>
      <c r="AA16" s="33">
        <v>26</v>
      </c>
      <c r="AB16" s="33">
        <v>27</v>
      </c>
      <c r="AC16" s="33">
        <v>28</v>
      </c>
      <c r="AD16" s="33">
        <v>29</v>
      </c>
      <c r="AE16" s="33">
        <v>30</v>
      </c>
      <c r="AF16" s="42">
        <v>31</v>
      </c>
      <c r="AG16" s="57">
        <f t="shared" si="0"/>
        <v>1</v>
      </c>
      <c r="AH16" s="15"/>
      <c r="AI16" s="9"/>
      <c r="AJ16" s="9"/>
      <c r="AK16" s="43" t="s">
        <v>11</v>
      </c>
      <c r="AL16" s="50">
        <v>57.5</v>
      </c>
      <c r="AM16" s="25"/>
      <c r="AN16" s="9"/>
    </row>
    <row r="17" spans="1:40" s="8" customFormat="1" ht="17.100000000000001" customHeight="1" x14ac:dyDescent="0.3">
      <c r="A17" s="27" t="s">
        <v>13</v>
      </c>
      <c r="B17" s="33">
        <v>1</v>
      </c>
      <c r="C17" s="41">
        <v>2</v>
      </c>
      <c r="D17" s="42">
        <v>3</v>
      </c>
      <c r="E17" s="42">
        <v>4</v>
      </c>
      <c r="F17" s="33">
        <v>5</v>
      </c>
      <c r="G17" s="33">
        <v>6</v>
      </c>
      <c r="H17" s="33">
        <v>7</v>
      </c>
      <c r="I17" s="33">
        <v>8</v>
      </c>
      <c r="J17" s="33">
        <v>9</v>
      </c>
      <c r="K17" s="42">
        <v>10</v>
      </c>
      <c r="L17" s="42">
        <v>11</v>
      </c>
      <c r="M17" s="33">
        <v>12</v>
      </c>
      <c r="N17" s="33">
        <v>13</v>
      </c>
      <c r="O17" s="33">
        <v>14</v>
      </c>
      <c r="P17" s="33">
        <v>15</v>
      </c>
      <c r="Q17" s="33">
        <v>16</v>
      </c>
      <c r="R17" s="42">
        <v>17</v>
      </c>
      <c r="S17" s="42">
        <v>18</v>
      </c>
      <c r="T17" s="33">
        <v>19</v>
      </c>
      <c r="U17" s="33">
        <v>20</v>
      </c>
      <c r="V17" s="33">
        <v>21</v>
      </c>
      <c r="W17" s="33">
        <v>22</v>
      </c>
      <c r="X17" s="33">
        <v>23</v>
      </c>
      <c r="Y17" s="42">
        <v>24</v>
      </c>
      <c r="Z17" s="42">
        <v>25</v>
      </c>
      <c r="AA17" s="33">
        <v>26</v>
      </c>
      <c r="AB17" s="33">
        <v>27</v>
      </c>
      <c r="AC17" s="33">
        <v>28</v>
      </c>
      <c r="AD17" s="33">
        <v>29</v>
      </c>
      <c r="AE17" s="33">
        <v>30</v>
      </c>
      <c r="AF17" s="42">
        <v>31</v>
      </c>
      <c r="AG17" s="57">
        <f t="shared" si="0"/>
        <v>0</v>
      </c>
      <c r="AH17" s="15"/>
      <c r="AI17" s="9"/>
      <c r="AJ17" s="9"/>
      <c r="AK17" s="44" t="s">
        <v>12</v>
      </c>
      <c r="AL17" s="51">
        <v>42</v>
      </c>
      <c r="AM17" s="25"/>
      <c r="AN17" s="9"/>
    </row>
    <row r="18" spans="1:40" s="8" customFormat="1" ht="17.100000000000001" customHeight="1" x14ac:dyDescent="0.3">
      <c r="A18" s="29" t="s">
        <v>19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57"/>
      <c r="AH18" s="15"/>
      <c r="AI18" s="9"/>
      <c r="AJ18" s="9"/>
      <c r="AK18" s="43" t="s">
        <v>13</v>
      </c>
      <c r="AL18" s="50">
        <v>27.5</v>
      </c>
      <c r="AM18" s="25"/>
      <c r="AN18" s="9"/>
    </row>
    <row r="19" spans="1:40" s="8" customFormat="1" ht="17.100000000000001" customHeight="1" x14ac:dyDescent="0.3">
      <c r="A19" s="27" t="s">
        <v>18</v>
      </c>
      <c r="B19" s="33">
        <v>1</v>
      </c>
      <c r="C19" s="41">
        <v>2</v>
      </c>
      <c r="D19" s="42">
        <v>3</v>
      </c>
      <c r="E19" s="42">
        <v>4</v>
      </c>
      <c r="F19" s="33">
        <v>5</v>
      </c>
      <c r="G19" s="33">
        <v>6</v>
      </c>
      <c r="H19" s="33">
        <v>7</v>
      </c>
      <c r="I19" s="33">
        <v>8</v>
      </c>
      <c r="J19" s="33">
        <v>9</v>
      </c>
      <c r="K19" s="42">
        <v>10</v>
      </c>
      <c r="L19" s="42">
        <v>11</v>
      </c>
      <c r="M19" s="33">
        <v>12</v>
      </c>
      <c r="N19" s="33">
        <v>13</v>
      </c>
      <c r="O19" s="33">
        <v>14</v>
      </c>
      <c r="P19" s="33">
        <v>15</v>
      </c>
      <c r="Q19" s="33">
        <v>16</v>
      </c>
      <c r="R19" s="42">
        <v>17</v>
      </c>
      <c r="S19" s="42">
        <v>18</v>
      </c>
      <c r="T19" s="33">
        <v>19</v>
      </c>
      <c r="U19" s="33">
        <v>20</v>
      </c>
      <c r="V19" s="33">
        <v>21</v>
      </c>
      <c r="W19" s="33">
        <v>22</v>
      </c>
      <c r="X19" s="33">
        <v>23</v>
      </c>
      <c r="Y19" s="42">
        <v>24</v>
      </c>
      <c r="Z19" s="42">
        <v>25</v>
      </c>
      <c r="AA19" s="33">
        <v>26</v>
      </c>
      <c r="AB19" s="33">
        <v>27</v>
      </c>
      <c r="AC19" s="33">
        <v>28</v>
      </c>
      <c r="AD19" s="33">
        <v>29</v>
      </c>
      <c r="AE19" s="33">
        <v>30</v>
      </c>
      <c r="AF19" s="42">
        <v>31</v>
      </c>
      <c r="AG19" s="57">
        <f t="shared" si="0"/>
        <v>0</v>
      </c>
      <c r="AH19" s="15"/>
      <c r="AI19" s="9"/>
      <c r="AJ19" s="9"/>
      <c r="AK19" s="45" t="s">
        <v>19</v>
      </c>
      <c r="AL19" s="52"/>
      <c r="AM19" s="25"/>
      <c r="AN19" s="9"/>
    </row>
    <row r="20" spans="1:40" s="8" customFormat="1" ht="17.100000000000001" customHeight="1" thickBot="1" x14ac:dyDescent="0.35">
      <c r="A20" s="16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7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8"/>
      <c r="AH20" s="15"/>
      <c r="AI20" s="9"/>
      <c r="AJ20" s="9"/>
      <c r="AK20" s="55" t="s">
        <v>18</v>
      </c>
      <c r="AL20" s="56">
        <v>33</v>
      </c>
      <c r="AM20" s="25"/>
      <c r="AN20" s="9"/>
    </row>
    <row r="21" spans="1:40" ht="17.100000000000001" customHeight="1" x14ac:dyDescent="0.25">
      <c r="A21" s="10">
        <v>46054</v>
      </c>
      <c r="B21" s="64" t="s">
        <v>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15"/>
      <c r="AI21" s="9"/>
      <c r="AJ21" s="9"/>
      <c r="AK21" s="26"/>
      <c r="AL21" s="25"/>
      <c r="AM21" s="25"/>
      <c r="AN21" s="9"/>
    </row>
    <row r="22" spans="1:40" s="7" customFormat="1" ht="20.100000000000001" customHeight="1" thickBot="1" x14ac:dyDescent="0.35">
      <c r="A22" s="13" t="s">
        <v>2</v>
      </c>
      <c r="B22" s="32" t="s">
        <v>4</v>
      </c>
      <c r="C22" s="32" t="s">
        <v>5</v>
      </c>
      <c r="D22" s="32" t="s">
        <v>6</v>
      </c>
      <c r="E22" s="32" t="s">
        <v>5</v>
      </c>
      <c r="F22" s="32" t="s">
        <v>6</v>
      </c>
      <c r="G22" s="32" t="s">
        <v>3</v>
      </c>
      <c r="H22" s="32" t="s">
        <v>4</v>
      </c>
      <c r="I22" s="32" t="s">
        <v>4</v>
      </c>
      <c r="J22" s="32" t="s">
        <v>5</v>
      </c>
      <c r="K22" s="32" t="s">
        <v>6</v>
      </c>
      <c r="L22" s="32" t="s">
        <v>5</v>
      </c>
      <c r="M22" s="32" t="s">
        <v>6</v>
      </c>
      <c r="N22" s="32" t="s">
        <v>3</v>
      </c>
      <c r="O22" s="32" t="s">
        <v>4</v>
      </c>
      <c r="P22" s="32" t="s">
        <v>4</v>
      </c>
      <c r="Q22" s="32" t="s">
        <v>5</v>
      </c>
      <c r="R22" s="32" t="s">
        <v>6</v>
      </c>
      <c r="S22" s="32" t="s">
        <v>5</v>
      </c>
      <c r="T22" s="32" t="s">
        <v>6</v>
      </c>
      <c r="U22" s="32" t="s">
        <v>3</v>
      </c>
      <c r="V22" s="32" t="s">
        <v>4</v>
      </c>
      <c r="W22" s="32" t="s">
        <v>4</v>
      </c>
      <c r="X22" s="32" t="s">
        <v>5</v>
      </c>
      <c r="Y22" s="32" t="s">
        <v>6</v>
      </c>
      <c r="Z22" s="32" t="s">
        <v>5</v>
      </c>
      <c r="AA22" s="32" t="s">
        <v>6</v>
      </c>
      <c r="AB22" s="32" t="s">
        <v>3</v>
      </c>
      <c r="AC22" s="32" t="s">
        <v>4</v>
      </c>
      <c r="AD22" s="60" t="s">
        <v>7</v>
      </c>
      <c r="AE22" s="61"/>
      <c r="AF22" s="61"/>
      <c r="AG22" s="67"/>
      <c r="AH22" s="11"/>
      <c r="AI22" s="12"/>
      <c r="AJ22" s="12"/>
      <c r="AK22" s="8"/>
      <c r="AL22" s="8"/>
      <c r="AM22" s="25"/>
      <c r="AN22" s="12"/>
    </row>
    <row r="23" spans="1:40" s="8" customFormat="1" ht="17.100000000000001" customHeight="1" x14ac:dyDescent="0.3">
      <c r="A23" s="27" t="s">
        <v>8</v>
      </c>
      <c r="B23" s="42">
        <v>1</v>
      </c>
      <c r="C23" s="33">
        <v>2</v>
      </c>
      <c r="D23" s="33">
        <v>3</v>
      </c>
      <c r="E23" s="33">
        <v>4</v>
      </c>
      <c r="F23" s="33">
        <v>5</v>
      </c>
      <c r="G23" s="33">
        <v>6</v>
      </c>
      <c r="H23" s="42">
        <v>7</v>
      </c>
      <c r="I23" s="42">
        <v>8</v>
      </c>
      <c r="J23" s="33">
        <v>9</v>
      </c>
      <c r="K23" s="33">
        <v>10</v>
      </c>
      <c r="L23" s="33">
        <v>11</v>
      </c>
      <c r="M23" s="33">
        <v>12</v>
      </c>
      <c r="N23" s="33">
        <v>13</v>
      </c>
      <c r="O23" s="42">
        <v>14</v>
      </c>
      <c r="P23" s="42">
        <v>15</v>
      </c>
      <c r="Q23" s="33">
        <v>16</v>
      </c>
      <c r="R23" s="33">
        <v>17</v>
      </c>
      <c r="S23" s="33">
        <v>18</v>
      </c>
      <c r="T23" s="33">
        <v>19</v>
      </c>
      <c r="U23" s="33">
        <v>20</v>
      </c>
      <c r="V23" s="42">
        <v>21</v>
      </c>
      <c r="W23" s="42">
        <v>22</v>
      </c>
      <c r="X23" s="33">
        <v>23</v>
      </c>
      <c r="Y23" s="33">
        <v>24</v>
      </c>
      <c r="Z23" s="33">
        <v>25</v>
      </c>
      <c r="AA23" s="33">
        <v>26</v>
      </c>
      <c r="AB23" s="33">
        <v>27</v>
      </c>
      <c r="AC23" s="42">
        <v>28</v>
      </c>
      <c r="AD23" s="19"/>
      <c r="AE23" s="19"/>
      <c r="AF23" s="19"/>
      <c r="AG23" s="57">
        <f>COUNTIF($B23:$AF23,"U")</f>
        <v>0</v>
      </c>
      <c r="AH23" s="15"/>
      <c r="AI23" s="9"/>
      <c r="AJ23" s="9"/>
      <c r="AK23" s="53" t="s">
        <v>2</v>
      </c>
      <c r="AL23" s="54" t="s">
        <v>25</v>
      </c>
      <c r="AM23" s="25"/>
      <c r="AN23" s="9"/>
    </row>
    <row r="24" spans="1:40" s="8" customFormat="1" ht="17.100000000000001" customHeight="1" x14ac:dyDescent="0.3">
      <c r="A24" s="28" t="s">
        <v>14</v>
      </c>
      <c r="B24" s="42">
        <v>1</v>
      </c>
      <c r="C24" s="33">
        <v>2</v>
      </c>
      <c r="D24" s="33">
        <v>3</v>
      </c>
      <c r="E24" s="33">
        <v>4</v>
      </c>
      <c r="F24" s="33">
        <v>5</v>
      </c>
      <c r="G24" s="33">
        <v>6</v>
      </c>
      <c r="H24" s="42">
        <v>7</v>
      </c>
      <c r="I24" s="42">
        <v>8</v>
      </c>
      <c r="J24" s="33">
        <v>9</v>
      </c>
      <c r="K24" s="33">
        <v>10</v>
      </c>
      <c r="L24" s="33">
        <v>11</v>
      </c>
      <c r="M24" s="33">
        <v>12</v>
      </c>
      <c r="N24" s="33">
        <v>13</v>
      </c>
      <c r="O24" s="42">
        <v>14</v>
      </c>
      <c r="P24" s="42">
        <v>15</v>
      </c>
      <c r="Q24" s="33">
        <v>16</v>
      </c>
      <c r="R24" s="33">
        <v>17</v>
      </c>
      <c r="S24" s="33">
        <v>18</v>
      </c>
      <c r="T24" s="33">
        <v>19</v>
      </c>
      <c r="U24" s="33">
        <v>20</v>
      </c>
      <c r="V24" s="42">
        <v>21</v>
      </c>
      <c r="W24" s="42">
        <v>22</v>
      </c>
      <c r="X24" s="33">
        <v>23</v>
      </c>
      <c r="Y24" s="33">
        <v>24</v>
      </c>
      <c r="Z24" s="33">
        <v>25</v>
      </c>
      <c r="AA24" s="33">
        <v>26</v>
      </c>
      <c r="AB24" s="33">
        <v>27</v>
      </c>
      <c r="AC24" s="42">
        <v>28</v>
      </c>
      <c r="AD24" s="20"/>
      <c r="AE24" s="20"/>
      <c r="AF24" s="20"/>
      <c r="AG24" s="57">
        <f t="shared" ref="AG24:AG38" si="1">COUNTIF($B24:$AF24,"U")</f>
        <v>0</v>
      </c>
      <c r="AH24" s="15"/>
      <c r="AI24" s="9"/>
      <c r="AJ24" s="9"/>
      <c r="AK24" s="43" t="s">
        <v>8</v>
      </c>
      <c r="AL24" s="50">
        <f>AG4+AG23+AG42+AG61+AG80+AG99+AG118+AG137+AG156+AG175+AG194+AG213</f>
        <v>23</v>
      </c>
      <c r="AM24" s="25"/>
      <c r="AN24" s="9"/>
    </row>
    <row r="25" spans="1:40" s="8" customFormat="1" ht="17.100000000000001" customHeight="1" x14ac:dyDescent="0.3">
      <c r="A25" s="27" t="s">
        <v>9</v>
      </c>
      <c r="B25" s="42">
        <v>1</v>
      </c>
      <c r="C25" s="39" t="s">
        <v>22</v>
      </c>
      <c r="D25" s="39" t="s">
        <v>22</v>
      </c>
      <c r="E25" s="39" t="s">
        <v>22</v>
      </c>
      <c r="F25" s="39" t="s">
        <v>22</v>
      </c>
      <c r="G25" s="39" t="s">
        <v>22</v>
      </c>
      <c r="H25" s="40">
        <v>7</v>
      </c>
      <c r="I25" s="40">
        <v>8</v>
      </c>
      <c r="J25" s="39" t="s">
        <v>22</v>
      </c>
      <c r="K25" s="39" t="s">
        <v>22</v>
      </c>
      <c r="L25" s="39" t="s">
        <v>22</v>
      </c>
      <c r="M25" s="39" t="s">
        <v>22</v>
      </c>
      <c r="N25" s="39" t="s">
        <v>22</v>
      </c>
      <c r="O25" s="40">
        <v>14</v>
      </c>
      <c r="P25" s="40">
        <v>15</v>
      </c>
      <c r="Q25" s="40" t="s">
        <v>22</v>
      </c>
      <c r="R25" s="33">
        <v>17</v>
      </c>
      <c r="S25" s="33">
        <v>18</v>
      </c>
      <c r="T25" s="33">
        <v>19</v>
      </c>
      <c r="U25" s="33">
        <v>20</v>
      </c>
      <c r="V25" s="42">
        <v>21</v>
      </c>
      <c r="W25" s="42">
        <v>22</v>
      </c>
      <c r="X25" s="33">
        <v>23</v>
      </c>
      <c r="Y25" s="33">
        <v>24</v>
      </c>
      <c r="Z25" s="33">
        <v>25</v>
      </c>
      <c r="AA25" s="33">
        <v>26</v>
      </c>
      <c r="AB25" s="33">
        <v>27</v>
      </c>
      <c r="AC25" s="42">
        <v>28</v>
      </c>
      <c r="AD25" s="20"/>
      <c r="AE25" s="20"/>
      <c r="AF25" s="20"/>
      <c r="AG25" s="57">
        <f t="shared" si="1"/>
        <v>11</v>
      </c>
      <c r="AH25" s="15"/>
      <c r="AI25" s="9"/>
      <c r="AJ25" s="9"/>
      <c r="AK25" s="44" t="s">
        <v>14</v>
      </c>
      <c r="AL25" s="51">
        <f t="shared" ref="AL25:AL29" si="2">AG5+AG24+AG43+AG62+AG81+AG100+AG119+AG138+AG157+AG176+AG195+AG214</f>
        <v>18</v>
      </c>
      <c r="AM25" s="25"/>
      <c r="AN25" s="9"/>
    </row>
    <row r="26" spans="1:40" s="8" customFormat="1" ht="17.100000000000001" customHeight="1" x14ac:dyDescent="0.3">
      <c r="A26" s="28" t="s">
        <v>10</v>
      </c>
      <c r="B26" s="42">
        <v>1</v>
      </c>
      <c r="C26" s="33">
        <v>2</v>
      </c>
      <c r="D26" s="33">
        <v>3</v>
      </c>
      <c r="E26" s="33">
        <v>4</v>
      </c>
      <c r="F26" s="33">
        <v>5</v>
      </c>
      <c r="G26" s="33">
        <v>6</v>
      </c>
      <c r="H26" s="42">
        <v>7</v>
      </c>
      <c r="I26" s="42">
        <v>8</v>
      </c>
      <c r="J26" s="33">
        <v>9</v>
      </c>
      <c r="K26" s="33">
        <v>10</v>
      </c>
      <c r="L26" s="33">
        <v>11</v>
      </c>
      <c r="M26" s="33">
        <v>12</v>
      </c>
      <c r="N26" s="33">
        <v>13</v>
      </c>
      <c r="O26" s="42">
        <v>14</v>
      </c>
      <c r="P26" s="42">
        <v>15</v>
      </c>
      <c r="Q26" s="33">
        <v>16</v>
      </c>
      <c r="R26" s="33">
        <v>17</v>
      </c>
      <c r="S26" s="33">
        <v>18</v>
      </c>
      <c r="T26" s="33">
        <v>19</v>
      </c>
      <c r="U26" s="33">
        <v>20</v>
      </c>
      <c r="V26" s="42">
        <v>21</v>
      </c>
      <c r="W26" s="42">
        <v>22</v>
      </c>
      <c r="X26" s="33">
        <v>23</v>
      </c>
      <c r="Y26" s="33">
        <v>24</v>
      </c>
      <c r="Z26" s="33">
        <v>25</v>
      </c>
      <c r="AA26" s="33">
        <v>26</v>
      </c>
      <c r="AB26" s="33">
        <v>27</v>
      </c>
      <c r="AC26" s="42">
        <v>28</v>
      </c>
      <c r="AD26" s="20"/>
      <c r="AE26" s="20"/>
      <c r="AF26" s="20"/>
      <c r="AG26" s="57">
        <f t="shared" si="1"/>
        <v>0</v>
      </c>
      <c r="AH26" s="15"/>
      <c r="AI26" s="9"/>
      <c r="AJ26" s="9"/>
      <c r="AK26" s="43" t="s">
        <v>9</v>
      </c>
      <c r="AL26" s="50">
        <f t="shared" si="2"/>
        <v>32</v>
      </c>
      <c r="AM26" s="25"/>
      <c r="AN26" s="9"/>
    </row>
    <row r="27" spans="1:40" s="8" customFormat="1" ht="17.100000000000001" customHeight="1" x14ac:dyDescent="0.3">
      <c r="A27" s="27" t="s">
        <v>15</v>
      </c>
      <c r="B27" s="42">
        <v>1</v>
      </c>
      <c r="C27" s="33">
        <v>2</v>
      </c>
      <c r="D27" s="33">
        <v>3</v>
      </c>
      <c r="E27" s="33">
        <v>4</v>
      </c>
      <c r="F27" s="33">
        <v>5</v>
      </c>
      <c r="G27" s="33">
        <v>6</v>
      </c>
      <c r="H27" s="42">
        <v>7</v>
      </c>
      <c r="I27" s="42">
        <v>8</v>
      </c>
      <c r="J27" s="33">
        <v>9</v>
      </c>
      <c r="K27" s="33">
        <v>10</v>
      </c>
      <c r="L27" s="33">
        <v>11</v>
      </c>
      <c r="M27" s="33">
        <v>12</v>
      </c>
      <c r="N27" s="33">
        <v>13</v>
      </c>
      <c r="O27" s="42">
        <v>14</v>
      </c>
      <c r="P27" s="42">
        <v>15</v>
      </c>
      <c r="Q27" s="33">
        <v>16</v>
      </c>
      <c r="R27" s="33">
        <v>17</v>
      </c>
      <c r="S27" s="33">
        <v>18</v>
      </c>
      <c r="T27" s="33">
        <v>19</v>
      </c>
      <c r="U27" s="33">
        <v>20</v>
      </c>
      <c r="V27" s="42">
        <v>21</v>
      </c>
      <c r="W27" s="42">
        <v>22</v>
      </c>
      <c r="X27" s="33">
        <v>23</v>
      </c>
      <c r="Y27" s="33">
        <v>24</v>
      </c>
      <c r="Z27" s="33">
        <v>25</v>
      </c>
      <c r="AA27" s="33">
        <v>26</v>
      </c>
      <c r="AB27" s="33">
        <v>27</v>
      </c>
      <c r="AC27" s="42">
        <v>28</v>
      </c>
      <c r="AD27" s="20"/>
      <c r="AE27" s="20"/>
      <c r="AF27" s="20"/>
      <c r="AG27" s="57">
        <f>COUNTIF($B27:$AF27,"U")</f>
        <v>0</v>
      </c>
      <c r="AH27" s="15"/>
      <c r="AI27" s="9"/>
      <c r="AJ27" s="9"/>
      <c r="AK27" s="44" t="s">
        <v>10</v>
      </c>
      <c r="AL27" s="51">
        <f t="shared" si="2"/>
        <v>22</v>
      </c>
      <c r="AM27" s="25"/>
      <c r="AN27" s="9"/>
    </row>
    <row r="28" spans="1:40" s="8" customFormat="1" ht="17.100000000000001" customHeight="1" x14ac:dyDescent="0.3">
      <c r="A28" s="28" t="s">
        <v>29</v>
      </c>
      <c r="B28" s="42">
        <v>1</v>
      </c>
      <c r="C28" s="33">
        <v>2</v>
      </c>
      <c r="D28" s="33">
        <v>3</v>
      </c>
      <c r="E28" s="33">
        <v>4</v>
      </c>
      <c r="F28" s="33">
        <v>5</v>
      </c>
      <c r="G28" s="33">
        <v>6</v>
      </c>
      <c r="H28" s="42">
        <v>7</v>
      </c>
      <c r="I28" s="42">
        <v>8</v>
      </c>
      <c r="J28" s="33">
        <v>9</v>
      </c>
      <c r="K28" s="33">
        <v>10</v>
      </c>
      <c r="L28" s="33">
        <v>11</v>
      </c>
      <c r="M28" s="33">
        <v>12</v>
      </c>
      <c r="N28" s="33">
        <v>13</v>
      </c>
      <c r="O28" s="42">
        <v>14</v>
      </c>
      <c r="P28" s="42">
        <v>15</v>
      </c>
      <c r="Q28" s="33">
        <v>16</v>
      </c>
      <c r="R28" s="33">
        <v>17</v>
      </c>
      <c r="S28" s="33">
        <v>18</v>
      </c>
      <c r="T28" s="33">
        <v>19</v>
      </c>
      <c r="U28" s="33">
        <v>20</v>
      </c>
      <c r="V28" s="42">
        <v>21</v>
      </c>
      <c r="W28" s="42">
        <v>22</v>
      </c>
      <c r="X28" s="33">
        <v>23</v>
      </c>
      <c r="Y28" s="33">
        <v>24</v>
      </c>
      <c r="Z28" s="33">
        <v>25</v>
      </c>
      <c r="AA28" s="33">
        <v>26</v>
      </c>
      <c r="AB28" s="33">
        <v>27</v>
      </c>
      <c r="AC28" s="42">
        <v>28</v>
      </c>
      <c r="AD28" s="20"/>
      <c r="AE28" s="20"/>
      <c r="AF28" s="20"/>
      <c r="AG28" s="57">
        <f t="shared" si="1"/>
        <v>0</v>
      </c>
      <c r="AH28" s="15"/>
      <c r="AI28" s="9"/>
      <c r="AJ28" s="9"/>
      <c r="AK28" s="43" t="s">
        <v>15</v>
      </c>
      <c r="AL28" s="50">
        <f t="shared" si="2"/>
        <v>32.5</v>
      </c>
      <c r="AM28" s="9"/>
      <c r="AN28" s="9"/>
    </row>
    <row r="29" spans="1:40" s="8" customFormat="1" ht="17.100000000000001" customHeight="1" x14ac:dyDescent="0.3">
      <c r="A29" s="29" t="s">
        <v>21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20"/>
      <c r="AE29" s="20"/>
      <c r="AF29" s="20"/>
      <c r="AG29" s="57"/>
      <c r="AH29" s="15"/>
      <c r="AI29" s="9"/>
      <c r="AJ29" s="9"/>
      <c r="AK29" s="44" t="s">
        <v>29</v>
      </c>
      <c r="AL29" s="51">
        <f t="shared" si="2"/>
        <v>0</v>
      </c>
      <c r="AM29" s="9"/>
      <c r="AN29" s="9"/>
    </row>
    <row r="30" spans="1:40" s="8" customFormat="1" ht="17.100000000000001" customHeight="1" x14ac:dyDescent="0.3">
      <c r="A30" s="30" t="s">
        <v>28</v>
      </c>
      <c r="B30" s="42">
        <v>1</v>
      </c>
      <c r="C30" s="33">
        <v>2</v>
      </c>
      <c r="D30" s="33">
        <v>3</v>
      </c>
      <c r="E30" s="33">
        <v>4</v>
      </c>
      <c r="F30" s="33">
        <v>5</v>
      </c>
      <c r="G30" s="33">
        <v>6</v>
      </c>
      <c r="H30" s="42">
        <v>7</v>
      </c>
      <c r="I30" s="42">
        <v>8</v>
      </c>
      <c r="J30" s="33">
        <v>9</v>
      </c>
      <c r="K30" s="33">
        <v>10</v>
      </c>
      <c r="L30" s="33">
        <v>11</v>
      </c>
      <c r="M30" s="33">
        <v>12</v>
      </c>
      <c r="N30" s="33">
        <v>13</v>
      </c>
      <c r="O30" s="42">
        <v>14</v>
      </c>
      <c r="P30" s="42">
        <v>15</v>
      </c>
      <c r="Q30" s="33">
        <v>16</v>
      </c>
      <c r="R30" s="33">
        <v>17</v>
      </c>
      <c r="S30" s="33">
        <v>18</v>
      </c>
      <c r="T30" s="33">
        <v>19</v>
      </c>
      <c r="U30" s="33">
        <v>20</v>
      </c>
      <c r="V30" s="42">
        <v>21</v>
      </c>
      <c r="W30" s="42">
        <v>22</v>
      </c>
      <c r="X30" s="33">
        <v>23</v>
      </c>
      <c r="Y30" s="33">
        <v>24</v>
      </c>
      <c r="Z30" s="33">
        <v>25</v>
      </c>
      <c r="AA30" s="33">
        <v>26</v>
      </c>
      <c r="AB30" s="33">
        <v>27</v>
      </c>
      <c r="AC30" s="42">
        <v>28</v>
      </c>
      <c r="AD30" s="20"/>
      <c r="AE30" s="20"/>
      <c r="AF30" s="20"/>
      <c r="AG30" s="57">
        <f t="shared" si="1"/>
        <v>0</v>
      </c>
      <c r="AH30" s="15"/>
      <c r="AI30" s="9"/>
      <c r="AJ30" s="9"/>
      <c r="AK30" s="45" t="s">
        <v>21</v>
      </c>
      <c r="AL30" s="52"/>
      <c r="AM30" s="9"/>
      <c r="AN30" s="9"/>
    </row>
    <row r="31" spans="1:40" s="8" customFormat="1" ht="17.100000000000001" customHeight="1" x14ac:dyDescent="0.3">
      <c r="A31" s="27" t="s">
        <v>17</v>
      </c>
      <c r="B31" s="42">
        <v>1</v>
      </c>
      <c r="C31" s="33">
        <v>2</v>
      </c>
      <c r="D31" s="33">
        <v>3</v>
      </c>
      <c r="E31" s="46" t="s">
        <v>22</v>
      </c>
      <c r="F31" s="33">
        <v>5</v>
      </c>
      <c r="G31" s="33">
        <v>6</v>
      </c>
      <c r="H31" s="42">
        <v>7</v>
      </c>
      <c r="I31" s="42">
        <v>8</v>
      </c>
      <c r="J31" s="33">
        <v>9</v>
      </c>
      <c r="K31" s="33">
        <v>10</v>
      </c>
      <c r="L31" s="33">
        <v>11</v>
      </c>
      <c r="M31" s="33">
        <v>12</v>
      </c>
      <c r="N31" s="33">
        <v>13</v>
      </c>
      <c r="O31" s="42">
        <v>14</v>
      </c>
      <c r="P31" s="42">
        <v>15</v>
      </c>
      <c r="Q31" s="33">
        <v>16</v>
      </c>
      <c r="R31" s="33">
        <v>17</v>
      </c>
      <c r="S31" s="33">
        <v>18</v>
      </c>
      <c r="T31" s="33">
        <v>19</v>
      </c>
      <c r="U31" s="33">
        <v>20</v>
      </c>
      <c r="V31" s="42">
        <v>21</v>
      </c>
      <c r="W31" s="42">
        <v>22</v>
      </c>
      <c r="X31" s="33">
        <v>23</v>
      </c>
      <c r="Y31" s="33">
        <v>24</v>
      </c>
      <c r="Z31" s="33">
        <v>25</v>
      </c>
      <c r="AA31" s="33">
        <v>26</v>
      </c>
      <c r="AB31" s="33">
        <v>27</v>
      </c>
      <c r="AC31" s="42">
        <v>28</v>
      </c>
      <c r="AD31" s="20"/>
      <c r="AE31" s="20"/>
      <c r="AF31" s="20"/>
      <c r="AG31" s="57">
        <f t="shared" si="1"/>
        <v>1</v>
      </c>
      <c r="AH31" s="15"/>
      <c r="AI31" s="9"/>
      <c r="AJ31" s="9"/>
      <c r="AK31" s="44" t="s">
        <v>27</v>
      </c>
      <c r="AL31" s="51">
        <f>AG11+AG30+AG49+AG68+AG87+AG106+AG125+AG144+AG163+AG182+AG201+AG220</f>
        <v>0</v>
      </c>
      <c r="AM31" s="9"/>
      <c r="AN31" s="9"/>
    </row>
    <row r="32" spans="1:40" s="8" customFormat="1" ht="17.100000000000001" customHeight="1" x14ac:dyDescent="0.3">
      <c r="A32" s="30" t="s">
        <v>16</v>
      </c>
      <c r="B32" s="42">
        <v>1</v>
      </c>
      <c r="C32" s="47" t="s">
        <v>22</v>
      </c>
      <c r="D32" s="33">
        <v>3</v>
      </c>
      <c r="E32" s="33">
        <v>4</v>
      </c>
      <c r="F32" s="33">
        <v>5</v>
      </c>
      <c r="G32" s="33">
        <v>6</v>
      </c>
      <c r="H32" s="42">
        <v>7</v>
      </c>
      <c r="I32" s="42">
        <v>8</v>
      </c>
      <c r="J32" s="33">
        <v>9</v>
      </c>
      <c r="K32" s="33">
        <v>10</v>
      </c>
      <c r="L32" s="33">
        <v>11</v>
      </c>
      <c r="M32" s="33">
        <v>12</v>
      </c>
      <c r="N32" s="33">
        <v>13</v>
      </c>
      <c r="O32" s="42">
        <v>14</v>
      </c>
      <c r="P32" s="42">
        <v>15</v>
      </c>
      <c r="Q32" s="33">
        <v>16</v>
      </c>
      <c r="R32" s="33">
        <v>17</v>
      </c>
      <c r="S32" s="33">
        <v>18</v>
      </c>
      <c r="T32" s="33">
        <v>19</v>
      </c>
      <c r="U32" s="33">
        <v>20</v>
      </c>
      <c r="V32" s="42">
        <v>21</v>
      </c>
      <c r="W32" s="42">
        <v>22</v>
      </c>
      <c r="X32" s="33">
        <v>23</v>
      </c>
      <c r="Y32" s="33">
        <v>24</v>
      </c>
      <c r="Z32" s="33">
        <v>25</v>
      </c>
      <c r="AA32" s="33">
        <v>26</v>
      </c>
      <c r="AB32" s="33">
        <v>27</v>
      </c>
      <c r="AC32" s="42">
        <v>28</v>
      </c>
      <c r="AD32" s="20"/>
      <c r="AE32" s="20"/>
      <c r="AF32" s="20"/>
      <c r="AG32" s="57">
        <f t="shared" si="1"/>
        <v>1</v>
      </c>
      <c r="AH32" s="15"/>
      <c r="AI32" s="9"/>
      <c r="AJ32" s="9"/>
      <c r="AK32" s="43" t="s">
        <v>17</v>
      </c>
      <c r="AL32" s="50">
        <f>AG12+AG31+AG50+AG69+AG88+AG107+AG126+AG145+AG164+AG183+AG202+AG221</f>
        <v>33</v>
      </c>
      <c r="AM32" s="9"/>
      <c r="AN32" s="9"/>
    </row>
    <row r="33" spans="1:40" s="8" customFormat="1" ht="17.100000000000001" customHeight="1" x14ac:dyDescent="0.3">
      <c r="A33" s="29" t="s">
        <v>20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20"/>
      <c r="AE33" s="20"/>
      <c r="AF33" s="20"/>
      <c r="AG33" s="57"/>
      <c r="AH33" s="15"/>
      <c r="AI33" s="9"/>
      <c r="AJ33" s="9"/>
      <c r="AK33" s="44" t="s">
        <v>16</v>
      </c>
      <c r="AL33" s="51">
        <f>AG13+AG32+AG51+AG70+AG89+AG108+AG127+AG146+AG165+AG184+AG203+AG222</f>
        <v>29</v>
      </c>
      <c r="AM33" s="9"/>
      <c r="AN33" s="9"/>
    </row>
    <row r="34" spans="1:40" s="8" customFormat="1" ht="17.100000000000001" customHeight="1" x14ac:dyDescent="0.3">
      <c r="A34" s="27" t="s">
        <v>11</v>
      </c>
      <c r="B34" s="42">
        <v>1</v>
      </c>
      <c r="C34" s="33">
        <v>2</v>
      </c>
      <c r="D34" s="33">
        <v>3</v>
      </c>
      <c r="E34" s="33">
        <v>4</v>
      </c>
      <c r="F34" s="33">
        <v>5</v>
      </c>
      <c r="G34" s="33">
        <v>6</v>
      </c>
      <c r="H34" s="42">
        <v>7</v>
      </c>
      <c r="I34" s="42">
        <v>8</v>
      </c>
      <c r="J34" s="33">
        <v>9</v>
      </c>
      <c r="K34" s="33">
        <v>10</v>
      </c>
      <c r="L34" s="33">
        <v>11</v>
      </c>
      <c r="M34" s="33">
        <v>12</v>
      </c>
      <c r="N34" s="33">
        <v>13</v>
      </c>
      <c r="O34" s="42">
        <v>14</v>
      </c>
      <c r="P34" s="42">
        <v>15</v>
      </c>
      <c r="Q34" s="33">
        <v>16</v>
      </c>
      <c r="R34" s="33">
        <v>17</v>
      </c>
      <c r="S34" s="33">
        <v>18</v>
      </c>
      <c r="T34" s="33">
        <v>19</v>
      </c>
      <c r="U34" s="33">
        <v>20</v>
      </c>
      <c r="V34" s="42">
        <v>21</v>
      </c>
      <c r="W34" s="42">
        <v>22</v>
      </c>
      <c r="X34" s="33">
        <v>23</v>
      </c>
      <c r="Y34" s="33">
        <v>24</v>
      </c>
      <c r="Z34" s="33">
        <v>25</v>
      </c>
      <c r="AA34" s="33">
        <v>26</v>
      </c>
      <c r="AB34" s="33">
        <v>27</v>
      </c>
      <c r="AC34" s="42">
        <v>28</v>
      </c>
      <c r="AD34" s="20"/>
      <c r="AE34" s="20"/>
      <c r="AF34" s="20"/>
      <c r="AG34" s="57">
        <f t="shared" si="1"/>
        <v>0</v>
      </c>
      <c r="AH34" s="15"/>
      <c r="AI34" s="9"/>
      <c r="AJ34" s="9"/>
      <c r="AK34" s="45" t="s">
        <v>20</v>
      </c>
      <c r="AL34" s="52"/>
      <c r="AM34" s="9"/>
      <c r="AN34" s="9"/>
    </row>
    <row r="35" spans="1:40" s="8" customFormat="1" ht="17.100000000000001" customHeight="1" x14ac:dyDescent="0.3">
      <c r="A35" s="28" t="s">
        <v>12</v>
      </c>
      <c r="B35" s="42">
        <v>1</v>
      </c>
      <c r="C35" s="33">
        <v>2</v>
      </c>
      <c r="D35" s="33">
        <v>3</v>
      </c>
      <c r="E35" s="33">
        <v>4</v>
      </c>
      <c r="F35" s="46" t="s">
        <v>22</v>
      </c>
      <c r="G35" s="46" t="s">
        <v>22</v>
      </c>
      <c r="H35" s="42">
        <v>7</v>
      </c>
      <c r="I35" s="42">
        <v>8</v>
      </c>
      <c r="J35" s="33">
        <v>9</v>
      </c>
      <c r="K35" s="33">
        <v>10</v>
      </c>
      <c r="L35" s="33">
        <v>11</v>
      </c>
      <c r="M35" s="33">
        <v>12</v>
      </c>
      <c r="N35" s="33">
        <v>13</v>
      </c>
      <c r="O35" s="42">
        <v>14</v>
      </c>
      <c r="P35" s="42">
        <v>15</v>
      </c>
      <c r="Q35" s="33">
        <v>16</v>
      </c>
      <c r="R35" s="33">
        <v>17</v>
      </c>
      <c r="S35" s="33">
        <v>18</v>
      </c>
      <c r="T35" s="33">
        <v>19</v>
      </c>
      <c r="U35" s="33">
        <v>20</v>
      </c>
      <c r="V35" s="42">
        <v>21</v>
      </c>
      <c r="W35" s="42">
        <v>22</v>
      </c>
      <c r="X35" s="33">
        <v>23</v>
      </c>
      <c r="Y35" s="33">
        <v>24</v>
      </c>
      <c r="Z35" s="33">
        <v>25</v>
      </c>
      <c r="AA35" s="33">
        <v>26</v>
      </c>
      <c r="AB35" s="46" t="s">
        <v>22</v>
      </c>
      <c r="AC35" s="42">
        <v>28</v>
      </c>
      <c r="AD35" s="20"/>
      <c r="AE35" s="20"/>
      <c r="AF35" s="20"/>
      <c r="AG35" s="57">
        <f t="shared" si="1"/>
        <v>3</v>
      </c>
      <c r="AH35" s="15"/>
      <c r="AI35" s="9"/>
      <c r="AJ35" s="9"/>
      <c r="AK35" s="43" t="s">
        <v>11</v>
      </c>
      <c r="AL35" s="50">
        <f>AG15+AG34+AG53+AG72+AG91+AG110+AG129+AG148+AG167+AG186+AG205+AG224</f>
        <v>35</v>
      </c>
      <c r="AM35" s="9"/>
      <c r="AN35" s="9"/>
    </row>
    <row r="36" spans="1:40" s="8" customFormat="1" ht="17.100000000000001" customHeight="1" x14ac:dyDescent="0.3">
      <c r="A36" s="27" t="s">
        <v>13</v>
      </c>
      <c r="B36" s="42">
        <v>1</v>
      </c>
      <c r="C36" s="33">
        <v>2</v>
      </c>
      <c r="D36" s="33">
        <v>3</v>
      </c>
      <c r="E36" s="33">
        <v>4</v>
      </c>
      <c r="F36" s="33">
        <v>5</v>
      </c>
      <c r="G36" s="33">
        <v>6</v>
      </c>
      <c r="H36" s="42">
        <v>7</v>
      </c>
      <c r="I36" s="42">
        <v>8</v>
      </c>
      <c r="J36" s="33">
        <v>9</v>
      </c>
      <c r="K36" s="33">
        <v>10</v>
      </c>
      <c r="L36" s="33">
        <v>11</v>
      </c>
      <c r="M36" s="33">
        <v>12</v>
      </c>
      <c r="N36" s="33">
        <v>13</v>
      </c>
      <c r="O36" s="42">
        <v>14</v>
      </c>
      <c r="P36" s="42">
        <v>15</v>
      </c>
      <c r="Q36" s="33">
        <v>16</v>
      </c>
      <c r="R36" s="33">
        <v>17</v>
      </c>
      <c r="S36" s="33">
        <v>18</v>
      </c>
      <c r="T36" s="33">
        <v>19</v>
      </c>
      <c r="U36" s="33">
        <v>20</v>
      </c>
      <c r="V36" s="42">
        <v>21</v>
      </c>
      <c r="W36" s="42">
        <v>22</v>
      </c>
      <c r="X36" s="33">
        <v>23</v>
      </c>
      <c r="Y36" s="33">
        <v>24</v>
      </c>
      <c r="Z36" s="33">
        <v>25</v>
      </c>
      <c r="AA36" s="33">
        <v>26</v>
      </c>
      <c r="AB36" s="33">
        <v>27</v>
      </c>
      <c r="AC36" s="42">
        <v>28</v>
      </c>
      <c r="AD36" s="20"/>
      <c r="AE36" s="20"/>
      <c r="AF36" s="20"/>
      <c r="AG36" s="57">
        <f t="shared" si="1"/>
        <v>0</v>
      </c>
      <c r="AH36" s="15"/>
      <c r="AI36" s="9"/>
      <c r="AJ36" s="9"/>
      <c r="AK36" s="44" t="s">
        <v>12</v>
      </c>
      <c r="AL36" s="51">
        <f>AG16+AG35+AG54+AG73+AG92+AG111+AG130+AG149+AG168+AG187+AG206+AG225</f>
        <v>40</v>
      </c>
      <c r="AM36" s="9"/>
      <c r="AN36" s="9"/>
    </row>
    <row r="37" spans="1:40" s="8" customFormat="1" ht="17.100000000000001" customHeight="1" x14ac:dyDescent="0.3">
      <c r="A37" s="29" t="s">
        <v>19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20"/>
      <c r="AE37" s="20"/>
      <c r="AF37" s="20"/>
      <c r="AG37" s="57"/>
      <c r="AH37" s="15"/>
      <c r="AI37" s="9"/>
      <c r="AJ37" s="9"/>
      <c r="AK37" s="43" t="s">
        <v>13</v>
      </c>
      <c r="AL37" s="50">
        <f>AG17+AG36+AG55+AG74+AG93+AG112+AG131+AG150+AG169+AG188+AG207+AG226</f>
        <v>51</v>
      </c>
      <c r="AM37" s="9"/>
      <c r="AN37" s="9"/>
    </row>
    <row r="38" spans="1:40" s="8" customFormat="1" ht="17.100000000000001" customHeight="1" x14ac:dyDescent="0.3">
      <c r="A38" s="27" t="s">
        <v>18</v>
      </c>
      <c r="B38" s="42">
        <v>1</v>
      </c>
      <c r="C38" s="33">
        <v>2</v>
      </c>
      <c r="D38" s="33">
        <v>3</v>
      </c>
      <c r="E38" s="33">
        <v>4</v>
      </c>
      <c r="F38" s="33">
        <v>5</v>
      </c>
      <c r="G38" s="33">
        <v>6</v>
      </c>
      <c r="H38" s="42">
        <v>7</v>
      </c>
      <c r="I38" s="42">
        <v>8</v>
      </c>
      <c r="J38" s="33">
        <v>9</v>
      </c>
      <c r="K38" s="33">
        <v>10</v>
      </c>
      <c r="L38" s="33">
        <v>11</v>
      </c>
      <c r="M38" s="33">
        <v>12</v>
      </c>
      <c r="N38" s="33">
        <v>13</v>
      </c>
      <c r="O38" s="42">
        <v>14</v>
      </c>
      <c r="P38" s="42">
        <v>15</v>
      </c>
      <c r="Q38" s="33">
        <v>16</v>
      </c>
      <c r="R38" s="33">
        <v>17</v>
      </c>
      <c r="S38" s="33">
        <v>18</v>
      </c>
      <c r="T38" s="33">
        <v>19</v>
      </c>
      <c r="U38" s="33">
        <v>20</v>
      </c>
      <c r="V38" s="42">
        <v>21</v>
      </c>
      <c r="W38" s="42">
        <v>22</v>
      </c>
      <c r="X38" s="33">
        <v>23</v>
      </c>
      <c r="Y38" s="33">
        <v>24</v>
      </c>
      <c r="Z38" s="33">
        <v>25</v>
      </c>
      <c r="AA38" s="33">
        <v>26</v>
      </c>
      <c r="AB38" s="33">
        <v>27</v>
      </c>
      <c r="AC38" s="42">
        <v>28</v>
      </c>
      <c r="AD38" s="20"/>
      <c r="AE38" s="20"/>
      <c r="AF38" s="20"/>
      <c r="AG38" s="57">
        <f t="shared" si="1"/>
        <v>0</v>
      </c>
      <c r="AH38" s="15"/>
      <c r="AI38" s="9"/>
      <c r="AJ38" s="9"/>
      <c r="AK38" s="45" t="s">
        <v>19</v>
      </c>
      <c r="AL38" s="52"/>
      <c r="AM38" s="9"/>
      <c r="AN38" s="9"/>
    </row>
    <row r="39" spans="1:40" s="8" customFormat="1" ht="17.100000000000001" customHeight="1" thickBot="1" x14ac:dyDescent="0.35">
      <c r="A39" s="1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8"/>
      <c r="AH39" s="15"/>
      <c r="AI39" s="9"/>
      <c r="AJ39" s="9"/>
      <c r="AK39" s="55" t="s">
        <v>18</v>
      </c>
      <c r="AL39" s="56">
        <f>AG19+AG38+AG57+AG76+AG95+AG114+AG133+AG152+AG171+AG190+AG209+AG228</f>
        <v>32</v>
      </c>
      <c r="AM39" s="9"/>
      <c r="AN39" s="9"/>
    </row>
    <row r="40" spans="1:40" s="8" customFormat="1" ht="17.100000000000001" customHeight="1" x14ac:dyDescent="0.3">
      <c r="A40" s="10">
        <v>46082</v>
      </c>
      <c r="B40" s="64" t="s">
        <v>1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15"/>
      <c r="AI40" s="9"/>
      <c r="AJ40" s="9"/>
      <c r="AK40" s="12"/>
      <c r="AL40" s="12"/>
      <c r="AM40" s="9"/>
      <c r="AN40" s="9"/>
    </row>
    <row r="41" spans="1:40" ht="17.100000000000001" customHeight="1" x14ac:dyDescent="0.25">
      <c r="A41" s="13" t="s">
        <v>2</v>
      </c>
      <c r="B41" s="32" t="s">
        <v>4</v>
      </c>
      <c r="C41" s="32" t="s">
        <v>5</v>
      </c>
      <c r="D41" s="32" t="s">
        <v>6</v>
      </c>
      <c r="E41" s="32" t="s">
        <v>5</v>
      </c>
      <c r="F41" s="32" t="s">
        <v>6</v>
      </c>
      <c r="G41" s="32" t="s">
        <v>3</v>
      </c>
      <c r="H41" s="32" t="s">
        <v>4</v>
      </c>
      <c r="I41" s="32" t="s">
        <v>4</v>
      </c>
      <c r="J41" s="32" t="s">
        <v>5</v>
      </c>
      <c r="K41" s="32" t="s">
        <v>6</v>
      </c>
      <c r="L41" s="32" t="s">
        <v>5</v>
      </c>
      <c r="M41" s="32" t="s">
        <v>6</v>
      </c>
      <c r="N41" s="32" t="s">
        <v>3</v>
      </c>
      <c r="O41" s="32" t="s">
        <v>4</v>
      </c>
      <c r="P41" s="32" t="s">
        <v>4</v>
      </c>
      <c r="Q41" s="32" t="s">
        <v>5</v>
      </c>
      <c r="R41" s="32" t="s">
        <v>6</v>
      </c>
      <c r="S41" s="32" t="s">
        <v>5</v>
      </c>
      <c r="T41" s="32" t="s">
        <v>6</v>
      </c>
      <c r="U41" s="32" t="s">
        <v>3</v>
      </c>
      <c r="V41" s="32" t="s">
        <v>4</v>
      </c>
      <c r="W41" s="32" t="s">
        <v>4</v>
      </c>
      <c r="X41" s="32" t="s">
        <v>5</v>
      </c>
      <c r="Y41" s="32" t="s">
        <v>6</v>
      </c>
      <c r="Z41" s="32" t="s">
        <v>5</v>
      </c>
      <c r="AA41" s="32" t="s">
        <v>6</v>
      </c>
      <c r="AB41" s="32" t="s">
        <v>3</v>
      </c>
      <c r="AC41" s="32" t="s">
        <v>4</v>
      </c>
      <c r="AD41" s="32" t="s">
        <v>4</v>
      </c>
      <c r="AE41" s="32" t="s">
        <v>5</v>
      </c>
      <c r="AF41" s="32" t="s">
        <v>6</v>
      </c>
      <c r="AG41" s="21" t="s">
        <v>7</v>
      </c>
      <c r="AH41" s="15"/>
      <c r="AI41" s="9"/>
      <c r="AJ41" s="9"/>
      <c r="AK41" s="9"/>
      <c r="AL41" s="9"/>
      <c r="AM41" s="9"/>
      <c r="AN41" s="9"/>
    </row>
    <row r="42" spans="1:40" s="7" customFormat="1" ht="20.100000000000001" customHeight="1" thickBot="1" x14ac:dyDescent="0.3">
      <c r="A42" s="27" t="s">
        <v>8</v>
      </c>
      <c r="B42" s="34">
        <v>1</v>
      </c>
      <c r="C42" s="33">
        <v>2</v>
      </c>
      <c r="D42" s="33">
        <v>3</v>
      </c>
      <c r="E42" s="33">
        <v>4</v>
      </c>
      <c r="F42" s="33">
        <v>5</v>
      </c>
      <c r="G42" s="33">
        <v>6</v>
      </c>
      <c r="H42" s="34">
        <v>7</v>
      </c>
      <c r="I42" s="34">
        <v>8</v>
      </c>
      <c r="J42" s="33">
        <v>9</v>
      </c>
      <c r="K42" s="33">
        <v>10</v>
      </c>
      <c r="L42" s="33">
        <v>11</v>
      </c>
      <c r="M42" s="33">
        <v>12</v>
      </c>
      <c r="N42" s="33">
        <v>13</v>
      </c>
      <c r="O42" s="34">
        <v>14</v>
      </c>
      <c r="P42" s="34">
        <v>15</v>
      </c>
      <c r="Q42" s="33">
        <v>16</v>
      </c>
      <c r="R42" s="33">
        <v>17</v>
      </c>
      <c r="S42" s="33">
        <v>18</v>
      </c>
      <c r="T42" s="33">
        <v>19</v>
      </c>
      <c r="U42" s="33">
        <v>20</v>
      </c>
      <c r="V42" s="34">
        <v>21</v>
      </c>
      <c r="W42" s="34">
        <v>22</v>
      </c>
      <c r="X42" s="33">
        <v>23</v>
      </c>
      <c r="Y42" s="33">
        <v>24</v>
      </c>
      <c r="Z42" s="33">
        <v>25</v>
      </c>
      <c r="AA42" s="33">
        <v>26</v>
      </c>
      <c r="AB42" s="33">
        <v>27</v>
      </c>
      <c r="AC42" s="34">
        <v>28</v>
      </c>
      <c r="AD42" s="34">
        <v>29</v>
      </c>
      <c r="AE42" s="33">
        <v>30</v>
      </c>
      <c r="AF42" s="33">
        <v>31</v>
      </c>
      <c r="AG42" s="57">
        <f t="shared" ref="AG42:AG57" si="3">COUNTIF($B42:$AF42,"U")</f>
        <v>0</v>
      </c>
      <c r="AH42" s="11"/>
      <c r="AI42" s="12"/>
      <c r="AJ42" s="12"/>
      <c r="AK42" s="9"/>
      <c r="AL42" s="9"/>
      <c r="AM42" s="12"/>
      <c r="AN42" s="12"/>
    </row>
    <row r="43" spans="1:40" s="8" customFormat="1" ht="17.100000000000001" customHeight="1" x14ac:dyDescent="0.3">
      <c r="A43" s="28" t="s">
        <v>14</v>
      </c>
      <c r="B43" s="34">
        <v>1</v>
      </c>
      <c r="C43" s="33">
        <v>2</v>
      </c>
      <c r="D43" s="33">
        <v>3</v>
      </c>
      <c r="E43" s="33">
        <v>4</v>
      </c>
      <c r="F43" s="33">
        <v>5</v>
      </c>
      <c r="G43" s="33">
        <v>6</v>
      </c>
      <c r="H43" s="34">
        <v>7</v>
      </c>
      <c r="I43" s="34">
        <v>8</v>
      </c>
      <c r="J43" s="33">
        <v>9</v>
      </c>
      <c r="K43" s="33">
        <v>10</v>
      </c>
      <c r="L43" s="33">
        <v>11</v>
      </c>
      <c r="M43" s="33">
        <v>12</v>
      </c>
      <c r="N43" s="33">
        <v>13</v>
      </c>
      <c r="O43" s="34">
        <v>14</v>
      </c>
      <c r="P43" s="34">
        <v>15</v>
      </c>
      <c r="Q43" s="46" t="s">
        <v>22</v>
      </c>
      <c r="R43" s="46" t="s">
        <v>22</v>
      </c>
      <c r="S43" s="46" t="s">
        <v>22</v>
      </c>
      <c r="T43" s="33">
        <v>19</v>
      </c>
      <c r="U43" s="33">
        <v>20</v>
      </c>
      <c r="V43" s="34">
        <v>21</v>
      </c>
      <c r="W43" s="34">
        <v>22</v>
      </c>
      <c r="X43" s="33">
        <v>23</v>
      </c>
      <c r="Y43" s="33">
        <v>24</v>
      </c>
      <c r="Z43" s="33">
        <v>25</v>
      </c>
      <c r="AA43" s="33">
        <v>26</v>
      </c>
      <c r="AB43" s="46" t="s">
        <v>22</v>
      </c>
      <c r="AC43" s="34">
        <v>28</v>
      </c>
      <c r="AD43" s="34">
        <v>29</v>
      </c>
      <c r="AE43" s="33">
        <v>30</v>
      </c>
      <c r="AF43" s="33">
        <v>31</v>
      </c>
      <c r="AG43" s="57">
        <f t="shared" si="3"/>
        <v>4</v>
      </c>
      <c r="AH43" s="15"/>
      <c r="AI43" s="9"/>
      <c r="AJ43" s="9"/>
      <c r="AK43" s="53" t="s">
        <v>2</v>
      </c>
      <c r="AL43" s="54" t="s">
        <v>23</v>
      </c>
      <c r="AM43" s="9"/>
      <c r="AN43" s="9"/>
    </row>
    <row r="44" spans="1:40" s="8" customFormat="1" ht="17.100000000000001" customHeight="1" x14ac:dyDescent="0.3">
      <c r="A44" s="27" t="s">
        <v>9</v>
      </c>
      <c r="B44" s="34">
        <v>1</v>
      </c>
      <c r="C44" s="33">
        <v>2</v>
      </c>
      <c r="D44" s="33">
        <v>3</v>
      </c>
      <c r="E44" s="33">
        <v>4</v>
      </c>
      <c r="F44" s="33">
        <v>5</v>
      </c>
      <c r="G44" s="33">
        <v>6</v>
      </c>
      <c r="H44" s="34">
        <v>7</v>
      </c>
      <c r="I44" s="34">
        <v>8</v>
      </c>
      <c r="J44" s="33">
        <v>9</v>
      </c>
      <c r="K44" s="33">
        <v>10</v>
      </c>
      <c r="L44" s="33">
        <v>11</v>
      </c>
      <c r="M44" s="33">
        <v>12</v>
      </c>
      <c r="N44" s="33">
        <v>13</v>
      </c>
      <c r="O44" s="34">
        <v>14</v>
      </c>
      <c r="P44" s="34">
        <v>15</v>
      </c>
      <c r="Q44" s="33">
        <v>16</v>
      </c>
      <c r="R44" s="33">
        <v>17</v>
      </c>
      <c r="S44" s="33">
        <v>18</v>
      </c>
      <c r="T44" s="33">
        <v>19</v>
      </c>
      <c r="U44" s="33">
        <v>20</v>
      </c>
      <c r="V44" s="34">
        <v>21</v>
      </c>
      <c r="W44" s="34">
        <v>22</v>
      </c>
      <c r="X44" s="33">
        <v>23</v>
      </c>
      <c r="Y44" s="33">
        <v>24</v>
      </c>
      <c r="Z44" s="33">
        <v>25</v>
      </c>
      <c r="AA44" s="33">
        <v>26</v>
      </c>
      <c r="AB44" s="33">
        <v>27</v>
      </c>
      <c r="AC44" s="34">
        <v>28</v>
      </c>
      <c r="AD44" s="34">
        <v>29</v>
      </c>
      <c r="AE44" s="33">
        <v>30</v>
      </c>
      <c r="AF44" s="33">
        <v>31</v>
      </c>
      <c r="AG44" s="57">
        <f t="shared" si="3"/>
        <v>0</v>
      </c>
      <c r="AH44" s="15"/>
      <c r="AI44" s="9"/>
      <c r="AJ44" s="9"/>
      <c r="AK44" s="43" t="s">
        <v>8</v>
      </c>
      <c r="AL44" s="50">
        <f>AL5-AL24</f>
        <v>46.5</v>
      </c>
      <c r="AM44" s="9"/>
      <c r="AN44" s="9"/>
    </row>
    <row r="45" spans="1:40" s="8" customFormat="1" ht="17.100000000000001" customHeight="1" x14ac:dyDescent="0.3">
      <c r="A45" s="28" t="s">
        <v>10</v>
      </c>
      <c r="B45" s="34">
        <v>1</v>
      </c>
      <c r="C45" s="33">
        <v>2</v>
      </c>
      <c r="D45" s="33">
        <v>3</v>
      </c>
      <c r="E45" s="33">
        <v>4</v>
      </c>
      <c r="F45" s="33">
        <v>5</v>
      </c>
      <c r="G45" s="33">
        <v>6</v>
      </c>
      <c r="H45" s="34">
        <v>7</v>
      </c>
      <c r="I45" s="34">
        <v>8</v>
      </c>
      <c r="J45" s="33">
        <v>9</v>
      </c>
      <c r="K45" s="33">
        <v>10</v>
      </c>
      <c r="L45" s="33">
        <v>11</v>
      </c>
      <c r="M45" s="33">
        <v>12</v>
      </c>
      <c r="N45" s="33">
        <v>13</v>
      </c>
      <c r="O45" s="34">
        <v>14</v>
      </c>
      <c r="P45" s="34">
        <v>15</v>
      </c>
      <c r="Q45" s="33">
        <v>16</v>
      </c>
      <c r="R45" s="33">
        <v>17</v>
      </c>
      <c r="S45" s="33">
        <v>18</v>
      </c>
      <c r="T45" s="33">
        <v>19</v>
      </c>
      <c r="U45" s="33">
        <v>20</v>
      </c>
      <c r="V45" s="34">
        <v>21</v>
      </c>
      <c r="W45" s="34">
        <v>22</v>
      </c>
      <c r="X45" s="33">
        <v>23</v>
      </c>
      <c r="Y45" s="33">
        <v>24</v>
      </c>
      <c r="Z45" s="33">
        <v>25</v>
      </c>
      <c r="AA45" s="33">
        <v>26</v>
      </c>
      <c r="AB45" s="33">
        <v>27</v>
      </c>
      <c r="AC45" s="34">
        <v>28</v>
      </c>
      <c r="AD45" s="34">
        <v>29</v>
      </c>
      <c r="AE45" s="33">
        <v>30</v>
      </c>
      <c r="AF45" s="33">
        <v>31</v>
      </c>
      <c r="AG45" s="57">
        <f t="shared" si="3"/>
        <v>0</v>
      </c>
      <c r="AH45" s="15"/>
      <c r="AI45" s="9"/>
      <c r="AJ45" s="9"/>
      <c r="AK45" s="44" t="s">
        <v>14</v>
      </c>
      <c r="AL45" s="51">
        <f t="shared" ref="AL45:AL49" si="4">AL6-AL25</f>
        <v>0</v>
      </c>
      <c r="AM45" s="9"/>
      <c r="AN45" s="9"/>
    </row>
    <row r="46" spans="1:40" s="8" customFormat="1" ht="17.100000000000001" customHeight="1" x14ac:dyDescent="0.3">
      <c r="A46" s="27" t="s">
        <v>15</v>
      </c>
      <c r="B46" s="34">
        <v>1</v>
      </c>
      <c r="C46" s="33">
        <v>2</v>
      </c>
      <c r="D46" s="33">
        <v>3</v>
      </c>
      <c r="E46" s="33">
        <v>4</v>
      </c>
      <c r="F46" s="33">
        <v>5</v>
      </c>
      <c r="G46" s="33">
        <v>6</v>
      </c>
      <c r="H46" s="34">
        <v>7</v>
      </c>
      <c r="I46" s="34">
        <v>8</v>
      </c>
      <c r="J46" s="33">
        <v>9</v>
      </c>
      <c r="K46" s="33">
        <v>10</v>
      </c>
      <c r="L46" s="33">
        <v>11</v>
      </c>
      <c r="M46" s="33">
        <v>12</v>
      </c>
      <c r="N46" s="33">
        <v>13</v>
      </c>
      <c r="O46" s="34">
        <v>14</v>
      </c>
      <c r="P46" s="34">
        <v>15</v>
      </c>
      <c r="Q46" s="33">
        <v>16</v>
      </c>
      <c r="R46" s="33">
        <v>17</v>
      </c>
      <c r="S46" s="33">
        <v>18</v>
      </c>
      <c r="T46" s="33">
        <v>19</v>
      </c>
      <c r="U46" s="33">
        <v>20</v>
      </c>
      <c r="V46" s="34">
        <v>21</v>
      </c>
      <c r="W46" s="34">
        <v>22</v>
      </c>
      <c r="X46" s="33">
        <v>23</v>
      </c>
      <c r="Y46" s="33">
        <v>24</v>
      </c>
      <c r="Z46" s="33">
        <v>25</v>
      </c>
      <c r="AA46" s="33">
        <v>26</v>
      </c>
      <c r="AB46" s="33">
        <v>27</v>
      </c>
      <c r="AC46" s="34">
        <v>28</v>
      </c>
      <c r="AD46" s="34">
        <v>29</v>
      </c>
      <c r="AE46" s="33">
        <v>30</v>
      </c>
      <c r="AF46" s="33">
        <v>31</v>
      </c>
      <c r="AG46" s="57">
        <f>COUNTIF($B46:$AF46,"U")</f>
        <v>0</v>
      </c>
      <c r="AH46" s="15"/>
      <c r="AI46" s="9"/>
      <c r="AJ46" s="9"/>
      <c r="AK46" s="43" t="s">
        <v>9</v>
      </c>
      <c r="AL46" s="50">
        <f t="shared" si="4"/>
        <v>13</v>
      </c>
      <c r="AM46" s="9"/>
      <c r="AN46" s="9"/>
    </row>
    <row r="47" spans="1:40" s="8" customFormat="1" ht="17.100000000000001" customHeight="1" x14ac:dyDescent="0.3">
      <c r="A47" s="28" t="s">
        <v>29</v>
      </c>
      <c r="B47" s="34">
        <v>1</v>
      </c>
      <c r="C47" s="33">
        <v>2</v>
      </c>
      <c r="D47" s="33">
        <v>3</v>
      </c>
      <c r="E47" s="33">
        <v>4</v>
      </c>
      <c r="F47" s="33">
        <v>5</v>
      </c>
      <c r="G47" s="33">
        <v>6</v>
      </c>
      <c r="H47" s="34">
        <v>7</v>
      </c>
      <c r="I47" s="34">
        <v>8</v>
      </c>
      <c r="J47" s="33">
        <v>9</v>
      </c>
      <c r="K47" s="33">
        <v>10</v>
      </c>
      <c r="L47" s="33">
        <v>11</v>
      </c>
      <c r="M47" s="33">
        <v>12</v>
      </c>
      <c r="N47" s="33">
        <v>13</v>
      </c>
      <c r="O47" s="34">
        <v>14</v>
      </c>
      <c r="P47" s="34">
        <v>15</v>
      </c>
      <c r="Q47" s="33">
        <v>16</v>
      </c>
      <c r="R47" s="33">
        <v>17</v>
      </c>
      <c r="S47" s="33">
        <v>18</v>
      </c>
      <c r="T47" s="33">
        <v>19</v>
      </c>
      <c r="U47" s="33">
        <v>20</v>
      </c>
      <c r="V47" s="34">
        <v>21</v>
      </c>
      <c r="W47" s="34">
        <v>22</v>
      </c>
      <c r="X47" s="33">
        <v>23</v>
      </c>
      <c r="Y47" s="33">
        <v>24</v>
      </c>
      <c r="Z47" s="33">
        <v>25</v>
      </c>
      <c r="AA47" s="33">
        <v>26</v>
      </c>
      <c r="AB47" s="33">
        <v>27</v>
      </c>
      <c r="AC47" s="34">
        <v>28</v>
      </c>
      <c r="AD47" s="34">
        <v>29</v>
      </c>
      <c r="AE47" s="33">
        <v>30</v>
      </c>
      <c r="AF47" s="33">
        <v>31</v>
      </c>
      <c r="AG47" s="57">
        <f t="shared" si="3"/>
        <v>0</v>
      </c>
      <c r="AH47" s="15"/>
      <c r="AI47" s="9"/>
      <c r="AJ47" s="9"/>
      <c r="AK47" s="44" t="s">
        <v>10</v>
      </c>
      <c r="AL47" s="51">
        <f t="shared" si="4"/>
        <v>18</v>
      </c>
      <c r="AM47" s="9"/>
      <c r="AN47" s="9"/>
    </row>
    <row r="48" spans="1:40" s="8" customFormat="1" ht="17.100000000000001" customHeight="1" x14ac:dyDescent="0.3">
      <c r="A48" s="29" t="s">
        <v>21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57"/>
      <c r="AH48" s="15"/>
      <c r="AI48" s="9"/>
      <c r="AJ48" s="9"/>
      <c r="AK48" s="43" t="s">
        <v>15</v>
      </c>
      <c r="AL48" s="50">
        <f t="shared" si="4"/>
        <v>6.5</v>
      </c>
      <c r="AM48" s="9"/>
      <c r="AN48" s="9"/>
    </row>
    <row r="49" spans="1:40" s="8" customFormat="1" ht="17.100000000000001" customHeight="1" x14ac:dyDescent="0.3">
      <c r="A49" s="30" t="s">
        <v>28</v>
      </c>
      <c r="B49" s="34">
        <v>1</v>
      </c>
      <c r="C49" s="33">
        <v>2</v>
      </c>
      <c r="D49" s="33">
        <v>3</v>
      </c>
      <c r="E49" s="33">
        <v>4</v>
      </c>
      <c r="F49" s="33">
        <v>5</v>
      </c>
      <c r="G49" s="33">
        <v>6</v>
      </c>
      <c r="H49" s="34">
        <v>7</v>
      </c>
      <c r="I49" s="34">
        <v>8</v>
      </c>
      <c r="J49" s="33">
        <v>9</v>
      </c>
      <c r="K49" s="33">
        <v>10</v>
      </c>
      <c r="L49" s="33">
        <v>11</v>
      </c>
      <c r="M49" s="33">
        <v>12</v>
      </c>
      <c r="N49" s="33">
        <v>13</v>
      </c>
      <c r="O49" s="34">
        <v>14</v>
      </c>
      <c r="P49" s="34">
        <v>15</v>
      </c>
      <c r="Q49" s="33">
        <v>16</v>
      </c>
      <c r="R49" s="33">
        <v>17</v>
      </c>
      <c r="S49" s="33">
        <v>18</v>
      </c>
      <c r="T49" s="33">
        <v>19</v>
      </c>
      <c r="U49" s="33">
        <v>20</v>
      </c>
      <c r="V49" s="34">
        <v>21</v>
      </c>
      <c r="W49" s="34">
        <v>22</v>
      </c>
      <c r="X49" s="33">
        <v>23</v>
      </c>
      <c r="Y49" s="33">
        <v>24</v>
      </c>
      <c r="Z49" s="33">
        <v>25</v>
      </c>
      <c r="AA49" s="33">
        <v>26</v>
      </c>
      <c r="AB49" s="33">
        <v>27</v>
      </c>
      <c r="AC49" s="34">
        <v>28</v>
      </c>
      <c r="AD49" s="34">
        <v>29</v>
      </c>
      <c r="AE49" s="33">
        <v>30</v>
      </c>
      <c r="AF49" s="33">
        <v>31</v>
      </c>
      <c r="AG49" s="57">
        <f t="shared" si="3"/>
        <v>0</v>
      </c>
      <c r="AH49" s="15"/>
      <c r="AI49" s="9"/>
      <c r="AJ49" s="9"/>
      <c r="AK49" s="44" t="s">
        <v>29</v>
      </c>
      <c r="AL49" s="51">
        <f t="shared" si="4"/>
        <v>0</v>
      </c>
      <c r="AM49" s="9"/>
      <c r="AN49" s="9"/>
    </row>
    <row r="50" spans="1:40" s="8" customFormat="1" ht="17.100000000000001" customHeight="1" x14ac:dyDescent="0.3">
      <c r="A50" s="27" t="s">
        <v>17</v>
      </c>
      <c r="B50" s="34">
        <v>1</v>
      </c>
      <c r="C50" s="33">
        <v>2</v>
      </c>
      <c r="D50" s="33">
        <v>3</v>
      </c>
      <c r="E50" s="33">
        <v>4</v>
      </c>
      <c r="F50" s="33">
        <v>5</v>
      </c>
      <c r="G50" s="33">
        <v>6</v>
      </c>
      <c r="H50" s="34">
        <v>7</v>
      </c>
      <c r="I50" s="34">
        <v>8</v>
      </c>
      <c r="J50" s="33">
        <v>9</v>
      </c>
      <c r="K50" s="33">
        <v>10</v>
      </c>
      <c r="L50" s="33">
        <v>11</v>
      </c>
      <c r="M50" s="33">
        <v>12</v>
      </c>
      <c r="N50" s="33">
        <v>13</v>
      </c>
      <c r="O50" s="34">
        <v>14</v>
      </c>
      <c r="P50" s="34">
        <v>15</v>
      </c>
      <c r="Q50" s="33">
        <v>16</v>
      </c>
      <c r="R50" s="33">
        <v>17</v>
      </c>
      <c r="S50" s="33">
        <v>18</v>
      </c>
      <c r="T50" s="33">
        <v>19</v>
      </c>
      <c r="U50" s="33">
        <v>20</v>
      </c>
      <c r="V50" s="34">
        <v>21</v>
      </c>
      <c r="W50" s="34">
        <v>22</v>
      </c>
      <c r="X50" s="33">
        <v>23</v>
      </c>
      <c r="Y50" s="33">
        <v>24</v>
      </c>
      <c r="Z50" s="33">
        <v>25</v>
      </c>
      <c r="AA50" s="33">
        <v>26</v>
      </c>
      <c r="AB50" s="33">
        <v>27</v>
      </c>
      <c r="AC50" s="34">
        <v>28</v>
      </c>
      <c r="AD50" s="34">
        <v>29</v>
      </c>
      <c r="AE50" s="33">
        <v>30</v>
      </c>
      <c r="AF50" s="33">
        <v>31</v>
      </c>
      <c r="AG50" s="57">
        <f t="shared" si="3"/>
        <v>0</v>
      </c>
      <c r="AH50" s="15"/>
      <c r="AI50" s="9"/>
      <c r="AJ50" s="9"/>
      <c r="AK50" s="45" t="s">
        <v>21</v>
      </c>
      <c r="AL50" s="52"/>
      <c r="AM50" s="9"/>
      <c r="AN50" s="9"/>
    </row>
    <row r="51" spans="1:40" s="8" customFormat="1" ht="17.100000000000001" customHeight="1" x14ac:dyDescent="0.3">
      <c r="A51" s="30" t="s">
        <v>16</v>
      </c>
      <c r="B51" s="34">
        <v>1</v>
      </c>
      <c r="C51" s="33">
        <v>2</v>
      </c>
      <c r="D51" s="33">
        <v>3</v>
      </c>
      <c r="E51" s="33">
        <v>4</v>
      </c>
      <c r="F51" s="33">
        <v>5</v>
      </c>
      <c r="G51" s="33">
        <v>6</v>
      </c>
      <c r="H51" s="34">
        <v>7</v>
      </c>
      <c r="I51" s="34">
        <v>8</v>
      </c>
      <c r="J51" s="47" t="s">
        <v>22</v>
      </c>
      <c r="K51" s="33">
        <v>10</v>
      </c>
      <c r="L51" s="33">
        <v>11</v>
      </c>
      <c r="M51" s="33">
        <v>12</v>
      </c>
      <c r="N51" s="33">
        <v>13</v>
      </c>
      <c r="O51" s="34">
        <v>14</v>
      </c>
      <c r="P51" s="34">
        <v>15</v>
      </c>
      <c r="Q51" s="33">
        <v>16</v>
      </c>
      <c r="R51" s="33">
        <v>17</v>
      </c>
      <c r="S51" s="33">
        <v>18</v>
      </c>
      <c r="T51" s="33">
        <v>19</v>
      </c>
      <c r="U51" s="47" t="s">
        <v>22</v>
      </c>
      <c r="V51" s="34">
        <v>21</v>
      </c>
      <c r="W51" s="34">
        <v>22</v>
      </c>
      <c r="X51" s="33">
        <v>23</v>
      </c>
      <c r="Y51" s="33">
        <v>24</v>
      </c>
      <c r="Z51" s="33">
        <v>25</v>
      </c>
      <c r="AA51" s="33">
        <v>26</v>
      </c>
      <c r="AB51" s="33">
        <v>27</v>
      </c>
      <c r="AC51" s="34">
        <v>28</v>
      </c>
      <c r="AD51" s="34">
        <v>29</v>
      </c>
      <c r="AE51" s="33">
        <v>30</v>
      </c>
      <c r="AF51" s="33">
        <v>31</v>
      </c>
      <c r="AG51" s="57">
        <f t="shared" si="3"/>
        <v>2</v>
      </c>
      <c r="AH51" s="15"/>
      <c r="AI51" s="9"/>
      <c r="AJ51" s="9"/>
      <c r="AK51" s="44" t="s">
        <v>27</v>
      </c>
      <c r="AL51" s="51">
        <f>AL12-AL31</f>
        <v>11</v>
      </c>
      <c r="AM51" s="9"/>
      <c r="AN51" s="9"/>
    </row>
    <row r="52" spans="1:40" s="8" customFormat="1" ht="16.5" customHeight="1" x14ac:dyDescent="0.3">
      <c r="A52" s="29" t="s">
        <v>20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57"/>
      <c r="AH52" s="15"/>
      <c r="AI52" s="9"/>
      <c r="AJ52" s="9"/>
      <c r="AK52" s="43" t="s">
        <v>17</v>
      </c>
      <c r="AL52" s="50">
        <f>AL13-AL32</f>
        <v>7.5</v>
      </c>
      <c r="AM52" s="9"/>
      <c r="AN52" s="9"/>
    </row>
    <row r="53" spans="1:40" s="8" customFormat="1" ht="17.100000000000001" customHeight="1" x14ac:dyDescent="0.3">
      <c r="A53" s="27" t="s">
        <v>11</v>
      </c>
      <c r="B53" s="34">
        <v>1</v>
      </c>
      <c r="C53" s="33">
        <v>2</v>
      </c>
      <c r="D53" s="33">
        <v>3</v>
      </c>
      <c r="E53" s="33">
        <v>4</v>
      </c>
      <c r="F53" s="33">
        <v>5</v>
      </c>
      <c r="G53" s="33">
        <v>6</v>
      </c>
      <c r="H53" s="34">
        <v>7</v>
      </c>
      <c r="I53" s="34">
        <v>8</v>
      </c>
      <c r="J53" s="33">
        <v>9</v>
      </c>
      <c r="K53" s="33">
        <v>10</v>
      </c>
      <c r="L53" s="33">
        <v>11</v>
      </c>
      <c r="M53" s="33">
        <v>12</v>
      </c>
      <c r="N53" s="33">
        <v>13</v>
      </c>
      <c r="O53" s="34">
        <v>14</v>
      </c>
      <c r="P53" s="34">
        <v>15</v>
      </c>
      <c r="Q53" s="33">
        <v>16</v>
      </c>
      <c r="R53" s="33">
        <v>17</v>
      </c>
      <c r="S53" s="33">
        <v>18</v>
      </c>
      <c r="T53" s="33">
        <v>19</v>
      </c>
      <c r="U53" s="33">
        <v>20</v>
      </c>
      <c r="V53" s="34">
        <v>21</v>
      </c>
      <c r="W53" s="34">
        <v>22</v>
      </c>
      <c r="X53" s="33">
        <v>23</v>
      </c>
      <c r="Y53" s="33">
        <v>24</v>
      </c>
      <c r="Z53" s="33">
        <v>25</v>
      </c>
      <c r="AA53" s="33">
        <v>26</v>
      </c>
      <c r="AB53" s="33">
        <v>27</v>
      </c>
      <c r="AC53" s="34">
        <v>28</v>
      </c>
      <c r="AD53" s="34">
        <v>29</v>
      </c>
      <c r="AE53" s="33">
        <v>30</v>
      </c>
      <c r="AF53" s="33">
        <v>31</v>
      </c>
      <c r="AG53" s="57">
        <f t="shared" si="3"/>
        <v>0</v>
      </c>
      <c r="AH53" s="15"/>
      <c r="AI53" s="9"/>
      <c r="AJ53" s="9"/>
      <c r="AK53" s="43" t="s">
        <v>16</v>
      </c>
      <c r="AL53" s="50">
        <f>AL14-AL33</f>
        <v>5.5</v>
      </c>
      <c r="AM53" s="9"/>
      <c r="AN53" s="9"/>
    </row>
    <row r="54" spans="1:40" s="8" customFormat="1" ht="17.100000000000001" customHeight="1" x14ac:dyDescent="0.3">
      <c r="A54" s="28" t="s">
        <v>12</v>
      </c>
      <c r="B54" s="34">
        <v>1</v>
      </c>
      <c r="C54" s="33">
        <v>2</v>
      </c>
      <c r="D54" s="33">
        <v>3</v>
      </c>
      <c r="E54" s="33">
        <v>4</v>
      </c>
      <c r="F54" s="33">
        <v>5</v>
      </c>
      <c r="G54" s="46">
        <v>6</v>
      </c>
      <c r="H54" s="34">
        <v>7</v>
      </c>
      <c r="I54" s="34">
        <v>8</v>
      </c>
      <c r="J54" s="33">
        <v>9</v>
      </c>
      <c r="K54" s="33">
        <v>10</v>
      </c>
      <c r="L54" s="33">
        <v>11</v>
      </c>
      <c r="M54" s="33">
        <v>12</v>
      </c>
      <c r="N54" s="33">
        <v>13</v>
      </c>
      <c r="O54" s="34">
        <v>14</v>
      </c>
      <c r="P54" s="34">
        <v>15</v>
      </c>
      <c r="Q54" s="33">
        <v>16</v>
      </c>
      <c r="R54" s="33">
        <v>17</v>
      </c>
      <c r="S54" s="33">
        <v>18</v>
      </c>
      <c r="T54" s="33">
        <v>19</v>
      </c>
      <c r="U54" s="46">
        <v>20</v>
      </c>
      <c r="V54" s="34">
        <v>21</v>
      </c>
      <c r="W54" s="34">
        <v>22</v>
      </c>
      <c r="X54" s="33">
        <v>23</v>
      </c>
      <c r="Y54" s="33">
        <v>24</v>
      </c>
      <c r="Z54" s="33">
        <v>25</v>
      </c>
      <c r="AA54" s="33">
        <v>26</v>
      </c>
      <c r="AB54" s="46" t="s">
        <v>22</v>
      </c>
      <c r="AC54" s="34">
        <v>28</v>
      </c>
      <c r="AD54" s="34">
        <v>29</v>
      </c>
      <c r="AE54" s="46" t="s">
        <v>22</v>
      </c>
      <c r="AF54" s="46" t="s">
        <v>22</v>
      </c>
      <c r="AG54" s="57">
        <f t="shared" si="3"/>
        <v>3</v>
      </c>
      <c r="AH54" s="15"/>
      <c r="AI54" s="9"/>
      <c r="AJ54" s="9"/>
      <c r="AK54" s="45" t="s">
        <v>20</v>
      </c>
      <c r="AL54" s="52"/>
      <c r="AM54" s="9"/>
      <c r="AN54" s="9"/>
    </row>
    <row r="55" spans="1:40" s="8" customFormat="1" ht="17.100000000000001" customHeight="1" x14ac:dyDescent="0.3">
      <c r="A55" s="27" t="s">
        <v>13</v>
      </c>
      <c r="B55" s="34">
        <v>1</v>
      </c>
      <c r="C55" s="33">
        <v>2</v>
      </c>
      <c r="D55" s="33">
        <v>3</v>
      </c>
      <c r="E55" s="33">
        <v>4</v>
      </c>
      <c r="F55" s="33">
        <v>5</v>
      </c>
      <c r="G55" s="33">
        <v>6</v>
      </c>
      <c r="H55" s="34">
        <v>7</v>
      </c>
      <c r="I55" s="34">
        <v>8</v>
      </c>
      <c r="J55" s="33">
        <v>9</v>
      </c>
      <c r="K55" s="33">
        <v>10</v>
      </c>
      <c r="L55" s="33">
        <v>11</v>
      </c>
      <c r="M55" s="33">
        <v>12</v>
      </c>
      <c r="N55" s="33">
        <v>13</v>
      </c>
      <c r="O55" s="34">
        <v>14</v>
      </c>
      <c r="P55" s="34">
        <v>15</v>
      </c>
      <c r="Q55" s="33">
        <v>16</v>
      </c>
      <c r="R55" s="33">
        <v>17</v>
      </c>
      <c r="S55" s="33">
        <v>18</v>
      </c>
      <c r="T55" s="33">
        <v>19</v>
      </c>
      <c r="U55" s="33">
        <v>20</v>
      </c>
      <c r="V55" s="34">
        <v>21</v>
      </c>
      <c r="W55" s="34">
        <v>22</v>
      </c>
      <c r="X55" s="33">
        <v>23</v>
      </c>
      <c r="Y55" s="33">
        <v>24</v>
      </c>
      <c r="Z55" s="33">
        <v>25</v>
      </c>
      <c r="AA55" s="33">
        <v>26</v>
      </c>
      <c r="AB55" s="33">
        <v>27</v>
      </c>
      <c r="AC55" s="34">
        <v>28</v>
      </c>
      <c r="AD55" s="34">
        <v>29</v>
      </c>
      <c r="AE55" s="33">
        <v>30</v>
      </c>
      <c r="AF55" s="33">
        <v>31</v>
      </c>
      <c r="AG55" s="57">
        <f t="shared" si="3"/>
        <v>0</v>
      </c>
      <c r="AH55" s="15"/>
      <c r="AI55" s="9"/>
      <c r="AJ55" s="9"/>
      <c r="AK55" s="43" t="s">
        <v>11</v>
      </c>
      <c r="AL55" s="50">
        <f>AL16-AL35</f>
        <v>22.5</v>
      </c>
      <c r="AM55" s="9"/>
      <c r="AN55" s="9"/>
    </row>
    <row r="56" spans="1:40" s="8" customFormat="1" ht="17.100000000000001" customHeight="1" x14ac:dyDescent="0.3">
      <c r="A56" s="29" t="s">
        <v>19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57"/>
      <c r="AH56" s="15"/>
      <c r="AI56" s="9"/>
      <c r="AJ56" s="9"/>
      <c r="AK56" s="44" t="s">
        <v>12</v>
      </c>
      <c r="AL56" s="51">
        <f>AL17-AL36</f>
        <v>2</v>
      </c>
      <c r="AM56" s="9"/>
      <c r="AN56" s="9"/>
    </row>
    <row r="57" spans="1:40" s="8" customFormat="1" ht="17.100000000000001" customHeight="1" x14ac:dyDescent="0.3">
      <c r="A57" s="27" t="s">
        <v>18</v>
      </c>
      <c r="B57" s="34">
        <v>1</v>
      </c>
      <c r="C57" s="33">
        <v>2</v>
      </c>
      <c r="D57" s="33">
        <v>3</v>
      </c>
      <c r="E57" s="33">
        <v>4</v>
      </c>
      <c r="F57" s="33">
        <v>5</v>
      </c>
      <c r="G57" s="33">
        <v>6</v>
      </c>
      <c r="H57" s="34">
        <v>7</v>
      </c>
      <c r="I57" s="34">
        <v>8</v>
      </c>
      <c r="J57" s="33">
        <v>9</v>
      </c>
      <c r="K57" s="33">
        <v>10</v>
      </c>
      <c r="L57" s="33">
        <v>11</v>
      </c>
      <c r="M57" s="33">
        <v>12</v>
      </c>
      <c r="N57" s="33">
        <v>13</v>
      </c>
      <c r="O57" s="34">
        <v>14</v>
      </c>
      <c r="P57" s="34">
        <v>15</v>
      </c>
      <c r="Q57" s="33">
        <v>16</v>
      </c>
      <c r="R57" s="33">
        <v>17</v>
      </c>
      <c r="S57" s="33">
        <v>18</v>
      </c>
      <c r="T57" s="33">
        <v>19</v>
      </c>
      <c r="U57" s="33">
        <v>20</v>
      </c>
      <c r="V57" s="34">
        <v>21</v>
      </c>
      <c r="W57" s="34">
        <v>22</v>
      </c>
      <c r="X57" s="33">
        <v>23</v>
      </c>
      <c r="Y57" s="33">
        <v>24</v>
      </c>
      <c r="Z57" s="33">
        <v>25</v>
      </c>
      <c r="AA57" s="33">
        <v>26</v>
      </c>
      <c r="AB57" s="33">
        <v>27</v>
      </c>
      <c r="AC57" s="34">
        <v>28</v>
      </c>
      <c r="AD57" s="34">
        <v>29</v>
      </c>
      <c r="AE57" s="46" t="s">
        <v>22</v>
      </c>
      <c r="AF57" s="46" t="s">
        <v>22</v>
      </c>
      <c r="AG57" s="57">
        <f t="shared" si="3"/>
        <v>2</v>
      </c>
      <c r="AH57" s="15"/>
      <c r="AI57" s="9"/>
      <c r="AJ57" s="9"/>
      <c r="AK57" s="43" t="s">
        <v>13</v>
      </c>
      <c r="AL57" s="50">
        <f>AL18-AL37</f>
        <v>-23.5</v>
      </c>
      <c r="AM57" s="9"/>
      <c r="AN57" s="9"/>
    </row>
    <row r="58" spans="1:40" s="8" customFormat="1" ht="17.100000000000001" customHeight="1" x14ac:dyDescent="0.3">
      <c r="A58" s="16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8"/>
      <c r="AH58" s="15"/>
      <c r="AI58" s="9"/>
      <c r="AJ58" s="9"/>
      <c r="AK58" s="45" t="s">
        <v>19</v>
      </c>
      <c r="AL58" s="52"/>
      <c r="AM58" s="9"/>
      <c r="AN58" s="9"/>
    </row>
    <row r="59" spans="1:40" s="8" customFormat="1" ht="17.100000000000001" customHeight="1" thickBot="1" x14ac:dyDescent="0.35">
      <c r="A59" s="22">
        <v>46113</v>
      </c>
      <c r="B59" s="58" t="s">
        <v>1</v>
      </c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15"/>
      <c r="AI59" s="9"/>
      <c r="AJ59" s="9"/>
      <c r="AK59" s="55" t="s">
        <v>18</v>
      </c>
      <c r="AL59" s="56">
        <f>AL20-AL39</f>
        <v>1</v>
      </c>
      <c r="AM59" s="9"/>
      <c r="AN59" s="9"/>
    </row>
    <row r="60" spans="1:40" s="8" customFormat="1" ht="17.100000000000001" customHeight="1" x14ac:dyDescent="0.3">
      <c r="A60" s="13" t="s">
        <v>2</v>
      </c>
      <c r="B60" s="32" t="s">
        <v>5</v>
      </c>
      <c r="C60" s="32" t="s">
        <v>6</v>
      </c>
      <c r="D60" s="32" t="s">
        <v>3</v>
      </c>
      <c r="E60" s="32" t="s">
        <v>4</v>
      </c>
      <c r="F60" s="32" t="s">
        <v>4</v>
      </c>
      <c r="G60" s="32" t="s">
        <v>5</v>
      </c>
      <c r="H60" s="32" t="s">
        <v>6</v>
      </c>
      <c r="I60" s="32" t="s">
        <v>5</v>
      </c>
      <c r="J60" s="32" t="s">
        <v>6</v>
      </c>
      <c r="K60" s="32" t="s">
        <v>3</v>
      </c>
      <c r="L60" s="32" t="s">
        <v>4</v>
      </c>
      <c r="M60" s="32" t="s">
        <v>4</v>
      </c>
      <c r="N60" s="32" t="s">
        <v>5</v>
      </c>
      <c r="O60" s="32" t="s">
        <v>6</v>
      </c>
      <c r="P60" s="32" t="s">
        <v>5</v>
      </c>
      <c r="Q60" s="32" t="s">
        <v>6</v>
      </c>
      <c r="R60" s="32" t="s">
        <v>3</v>
      </c>
      <c r="S60" s="32" t="s">
        <v>4</v>
      </c>
      <c r="T60" s="32" t="s">
        <v>4</v>
      </c>
      <c r="U60" s="32" t="s">
        <v>5</v>
      </c>
      <c r="V60" s="32" t="s">
        <v>6</v>
      </c>
      <c r="W60" s="32" t="s">
        <v>5</v>
      </c>
      <c r="X60" s="32" t="s">
        <v>6</v>
      </c>
      <c r="Y60" s="32" t="s">
        <v>3</v>
      </c>
      <c r="Z60" s="32" t="s">
        <v>4</v>
      </c>
      <c r="AA60" s="32" t="s">
        <v>4</v>
      </c>
      <c r="AB60" s="32" t="s">
        <v>5</v>
      </c>
      <c r="AC60" s="32" t="s">
        <v>6</v>
      </c>
      <c r="AD60" s="32" t="s">
        <v>5</v>
      </c>
      <c r="AE60" s="32" t="s">
        <v>6</v>
      </c>
      <c r="AF60" s="60" t="s">
        <v>7</v>
      </c>
      <c r="AG60" s="61"/>
      <c r="AH60" s="15"/>
      <c r="AI60" s="9"/>
      <c r="AJ60" s="9"/>
      <c r="AK60" s="9"/>
      <c r="AL60" s="9"/>
      <c r="AM60" s="9"/>
      <c r="AN60" s="9"/>
    </row>
    <row r="61" spans="1:40" ht="16.5" customHeight="1" x14ac:dyDescent="0.25">
      <c r="A61" s="27" t="s">
        <v>8</v>
      </c>
      <c r="B61" s="33">
        <v>1</v>
      </c>
      <c r="C61" s="33">
        <v>2</v>
      </c>
      <c r="D61" s="33">
        <v>3</v>
      </c>
      <c r="E61" s="34">
        <v>4</v>
      </c>
      <c r="F61" s="34">
        <v>5</v>
      </c>
      <c r="G61" s="33">
        <v>6</v>
      </c>
      <c r="H61" s="33">
        <v>7</v>
      </c>
      <c r="I61" s="33">
        <v>8</v>
      </c>
      <c r="J61" s="33">
        <v>9</v>
      </c>
      <c r="K61" s="33">
        <v>10</v>
      </c>
      <c r="L61" s="34">
        <v>11</v>
      </c>
      <c r="M61" s="34">
        <v>12</v>
      </c>
      <c r="N61" s="33">
        <v>13</v>
      </c>
      <c r="O61" s="33">
        <v>14</v>
      </c>
      <c r="P61" s="33">
        <v>15</v>
      </c>
      <c r="Q61" s="33">
        <v>16</v>
      </c>
      <c r="R61" s="33">
        <v>17</v>
      </c>
      <c r="S61" s="34">
        <v>18</v>
      </c>
      <c r="T61" s="34">
        <v>19</v>
      </c>
      <c r="U61" s="33">
        <v>20</v>
      </c>
      <c r="V61" s="33">
        <v>21</v>
      </c>
      <c r="W61" s="33">
        <v>22</v>
      </c>
      <c r="X61" s="33">
        <v>23</v>
      </c>
      <c r="Y61" s="33">
        <v>24</v>
      </c>
      <c r="Z61" s="34">
        <v>25</v>
      </c>
      <c r="AA61" s="34">
        <v>26</v>
      </c>
      <c r="AB61" s="33">
        <v>27</v>
      </c>
      <c r="AC61" s="33">
        <v>28</v>
      </c>
      <c r="AD61" s="33">
        <v>29</v>
      </c>
      <c r="AE61" s="33">
        <v>30</v>
      </c>
      <c r="AF61" s="20"/>
      <c r="AG61" s="57">
        <f t="shared" ref="AG61:AG76" si="5">COUNTIF($B61:$AF61,"U")</f>
        <v>0</v>
      </c>
      <c r="AH61" s="15"/>
      <c r="AI61" s="9"/>
      <c r="AJ61" s="9"/>
      <c r="AK61" s="9"/>
      <c r="AL61" s="9"/>
      <c r="AM61" s="9"/>
      <c r="AN61" s="9"/>
    </row>
    <row r="62" spans="1:40" s="7" customFormat="1" ht="20.100000000000001" customHeight="1" x14ac:dyDescent="0.25">
      <c r="A62" s="28" t="s">
        <v>14</v>
      </c>
      <c r="B62" s="33">
        <v>1</v>
      </c>
      <c r="C62" s="33">
        <v>2</v>
      </c>
      <c r="D62" s="33">
        <v>3</v>
      </c>
      <c r="E62" s="34">
        <v>4</v>
      </c>
      <c r="F62" s="34">
        <v>5</v>
      </c>
      <c r="G62" s="33">
        <v>6</v>
      </c>
      <c r="H62" s="33">
        <v>7</v>
      </c>
      <c r="I62" s="33">
        <v>8</v>
      </c>
      <c r="J62" s="33">
        <v>9</v>
      </c>
      <c r="K62" s="33">
        <v>10</v>
      </c>
      <c r="L62" s="34">
        <v>11</v>
      </c>
      <c r="M62" s="34">
        <v>12</v>
      </c>
      <c r="N62" s="33">
        <v>13</v>
      </c>
      <c r="O62" s="33">
        <v>14</v>
      </c>
      <c r="P62" s="33">
        <v>15</v>
      </c>
      <c r="Q62" s="33">
        <v>16</v>
      </c>
      <c r="R62" s="33">
        <v>17</v>
      </c>
      <c r="S62" s="34">
        <v>18</v>
      </c>
      <c r="T62" s="34">
        <v>19</v>
      </c>
      <c r="U62" s="33">
        <v>20</v>
      </c>
      <c r="V62" s="33">
        <v>21</v>
      </c>
      <c r="W62" s="33">
        <v>22</v>
      </c>
      <c r="X62" s="33">
        <v>23</v>
      </c>
      <c r="Y62" s="33">
        <v>24</v>
      </c>
      <c r="Z62" s="34">
        <v>25</v>
      </c>
      <c r="AA62" s="34">
        <v>26</v>
      </c>
      <c r="AB62" s="33">
        <v>27</v>
      </c>
      <c r="AC62" s="33">
        <v>28</v>
      </c>
      <c r="AD62" s="33">
        <v>29</v>
      </c>
      <c r="AE62" s="33">
        <v>30</v>
      </c>
      <c r="AF62" s="20"/>
      <c r="AG62" s="57">
        <f t="shared" si="5"/>
        <v>0</v>
      </c>
      <c r="AH62" s="11"/>
      <c r="AI62" s="12"/>
      <c r="AJ62" s="12"/>
      <c r="AK62" s="9"/>
      <c r="AL62" s="9"/>
      <c r="AM62" s="12"/>
      <c r="AN62" s="12"/>
    </row>
    <row r="63" spans="1:40" s="8" customFormat="1" ht="17.100000000000001" customHeight="1" x14ac:dyDescent="0.3">
      <c r="A63" s="27" t="s">
        <v>9</v>
      </c>
      <c r="B63" s="33">
        <v>1</v>
      </c>
      <c r="C63" s="33">
        <v>2</v>
      </c>
      <c r="D63" s="33">
        <v>3</v>
      </c>
      <c r="E63" s="34">
        <v>4</v>
      </c>
      <c r="F63" s="34">
        <v>5</v>
      </c>
      <c r="G63" s="33">
        <v>6</v>
      </c>
      <c r="H63" s="33">
        <v>7</v>
      </c>
      <c r="I63" s="33">
        <v>8</v>
      </c>
      <c r="J63" s="33">
        <v>9</v>
      </c>
      <c r="K63" s="33">
        <v>10</v>
      </c>
      <c r="L63" s="34">
        <v>11</v>
      </c>
      <c r="M63" s="34">
        <v>12</v>
      </c>
      <c r="N63" s="33">
        <v>13</v>
      </c>
      <c r="O63" s="33">
        <v>14</v>
      </c>
      <c r="P63" s="33">
        <v>15</v>
      </c>
      <c r="Q63" s="33">
        <v>16</v>
      </c>
      <c r="R63" s="33">
        <v>17</v>
      </c>
      <c r="S63" s="34">
        <v>18</v>
      </c>
      <c r="T63" s="34">
        <v>19</v>
      </c>
      <c r="U63" s="33">
        <v>20</v>
      </c>
      <c r="V63" s="33">
        <v>21</v>
      </c>
      <c r="W63" s="33">
        <v>22</v>
      </c>
      <c r="X63" s="33">
        <v>23</v>
      </c>
      <c r="Y63" s="33">
        <v>24</v>
      </c>
      <c r="Z63" s="34">
        <v>25</v>
      </c>
      <c r="AA63" s="34">
        <v>26</v>
      </c>
      <c r="AB63" s="33">
        <v>27</v>
      </c>
      <c r="AC63" s="33">
        <v>28</v>
      </c>
      <c r="AD63" s="33">
        <v>29</v>
      </c>
      <c r="AE63" s="33">
        <v>30</v>
      </c>
      <c r="AF63" s="20"/>
      <c r="AG63" s="57">
        <f t="shared" si="5"/>
        <v>0</v>
      </c>
      <c r="AH63" s="15"/>
      <c r="AI63" s="9"/>
      <c r="AJ63" s="9"/>
      <c r="AK63" s="9"/>
      <c r="AL63" s="9"/>
      <c r="AM63" s="9"/>
      <c r="AN63" s="9"/>
    </row>
    <row r="64" spans="1:40" s="8" customFormat="1" ht="16.95" customHeight="1" x14ac:dyDescent="0.3">
      <c r="A64" s="28" t="s">
        <v>10</v>
      </c>
      <c r="B64" s="47" t="s">
        <v>22</v>
      </c>
      <c r="C64" s="47" t="s">
        <v>22</v>
      </c>
      <c r="D64" s="49">
        <v>3</v>
      </c>
      <c r="E64" s="47">
        <v>4</v>
      </c>
      <c r="F64" s="47">
        <v>5</v>
      </c>
      <c r="G64" s="49">
        <v>6</v>
      </c>
      <c r="H64" s="33">
        <v>7</v>
      </c>
      <c r="I64" s="33">
        <v>8</v>
      </c>
      <c r="J64" s="33">
        <v>9</v>
      </c>
      <c r="K64" s="33">
        <v>10</v>
      </c>
      <c r="L64" s="34">
        <v>11</v>
      </c>
      <c r="M64" s="34">
        <v>12</v>
      </c>
      <c r="N64" s="33">
        <v>13</v>
      </c>
      <c r="O64" s="33">
        <v>14</v>
      </c>
      <c r="P64" s="33">
        <v>15</v>
      </c>
      <c r="Q64" s="33">
        <v>16</v>
      </c>
      <c r="R64" s="33">
        <v>17</v>
      </c>
      <c r="S64" s="34">
        <v>18</v>
      </c>
      <c r="T64" s="34">
        <v>19</v>
      </c>
      <c r="U64" s="33">
        <v>20</v>
      </c>
      <c r="V64" s="33">
        <v>21</v>
      </c>
      <c r="W64" s="33">
        <v>22</v>
      </c>
      <c r="X64" s="33">
        <v>23</v>
      </c>
      <c r="Y64" s="33">
        <v>24</v>
      </c>
      <c r="Z64" s="34">
        <v>25</v>
      </c>
      <c r="AA64" s="34">
        <v>26</v>
      </c>
      <c r="AB64" s="47" t="s">
        <v>22</v>
      </c>
      <c r="AC64" s="47" t="s">
        <v>22</v>
      </c>
      <c r="AD64" s="47" t="s">
        <v>22</v>
      </c>
      <c r="AE64" s="47" t="s">
        <v>22</v>
      </c>
      <c r="AF64" s="20"/>
      <c r="AG64" s="57">
        <f t="shared" si="5"/>
        <v>6</v>
      </c>
      <c r="AH64" s="15"/>
      <c r="AI64" s="9"/>
      <c r="AJ64" s="9"/>
      <c r="AK64" s="9"/>
      <c r="AL64" s="9"/>
      <c r="AM64" s="9"/>
      <c r="AN64" s="9"/>
    </row>
    <row r="65" spans="1:40" s="8" customFormat="1" ht="17.100000000000001" customHeight="1" x14ac:dyDescent="0.3">
      <c r="A65" s="27" t="s">
        <v>15</v>
      </c>
      <c r="B65" s="33">
        <v>1</v>
      </c>
      <c r="C65" s="33">
        <v>2</v>
      </c>
      <c r="D65" s="33">
        <v>3</v>
      </c>
      <c r="E65" s="34">
        <v>4</v>
      </c>
      <c r="F65" s="34">
        <v>5</v>
      </c>
      <c r="G65" s="33">
        <v>6</v>
      </c>
      <c r="H65" s="33">
        <v>7</v>
      </c>
      <c r="I65" s="33">
        <v>8</v>
      </c>
      <c r="J65" s="33">
        <v>9</v>
      </c>
      <c r="K65" s="33">
        <v>10</v>
      </c>
      <c r="L65" s="34">
        <v>11</v>
      </c>
      <c r="M65" s="34">
        <v>12</v>
      </c>
      <c r="N65" s="33">
        <v>13</v>
      </c>
      <c r="O65" s="33">
        <v>14</v>
      </c>
      <c r="P65" s="33">
        <v>15</v>
      </c>
      <c r="Q65" s="33">
        <v>16</v>
      </c>
      <c r="R65" s="33">
        <v>17</v>
      </c>
      <c r="S65" s="34">
        <v>18</v>
      </c>
      <c r="T65" s="34">
        <v>19</v>
      </c>
      <c r="U65" s="33">
        <v>20</v>
      </c>
      <c r="V65" s="33">
        <v>21</v>
      </c>
      <c r="W65" s="33">
        <v>22</v>
      </c>
      <c r="X65" s="33">
        <v>23</v>
      </c>
      <c r="Y65" s="33">
        <v>24</v>
      </c>
      <c r="Z65" s="34">
        <v>25</v>
      </c>
      <c r="AA65" s="34">
        <v>26</v>
      </c>
      <c r="AB65" s="33">
        <v>27</v>
      </c>
      <c r="AC65" s="33">
        <v>28</v>
      </c>
      <c r="AD65" s="33">
        <v>29</v>
      </c>
      <c r="AE65" s="33">
        <v>30</v>
      </c>
      <c r="AF65" s="20"/>
      <c r="AG65" s="57">
        <f>COUNTIF($B65:$AF65,"U")</f>
        <v>0</v>
      </c>
      <c r="AH65" s="15"/>
      <c r="AI65" s="9"/>
      <c r="AJ65" s="9"/>
      <c r="AK65" s="9"/>
      <c r="AL65" s="9"/>
      <c r="AM65" s="9"/>
      <c r="AN65" s="9"/>
    </row>
    <row r="66" spans="1:40" s="8" customFormat="1" ht="17.100000000000001" customHeight="1" x14ac:dyDescent="0.3">
      <c r="A66" s="28" t="s">
        <v>29</v>
      </c>
      <c r="B66" s="33">
        <v>1</v>
      </c>
      <c r="C66" s="33">
        <v>2</v>
      </c>
      <c r="D66" s="33">
        <v>3</v>
      </c>
      <c r="E66" s="34">
        <v>4</v>
      </c>
      <c r="F66" s="34">
        <v>5</v>
      </c>
      <c r="G66" s="33">
        <v>6</v>
      </c>
      <c r="H66" s="33">
        <v>7</v>
      </c>
      <c r="I66" s="33">
        <v>8</v>
      </c>
      <c r="J66" s="33">
        <v>9</v>
      </c>
      <c r="K66" s="33">
        <v>10</v>
      </c>
      <c r="L66" s="34">
        <v>11</v>
      </c>
      <c r="M66" s="34">
        <v>12</v>
      </c>
      <c r="N66" s="33">
        <v>13</v>
      </c>
      <c r="O66" s="33">
        <v>14</v>
      </c>
      <c r="P66" s="33">
        <v>15</v>
      </c>
      <c r="Q66" s="33">
        <v>16</v>
      </c>
      <c r="R66" s="33">
        <v>17</v>
      </c>
      <c r="S66" s="34">
        <v>18</v>
      </c>
      <c r="T66" s="34">
        <v>19</v>
      </c>
      <c r="U66" s="33">
        <v>20</v>
      </c>
      <c r="V66" s="33">
        <v>21</v>
      </c>
      <c r="W66" s="33">
        <v>22</v>
      </c>
      <c r="X66" s="33">
        <v>23</v>
      </c>
      <c r="Y66" s="33">
        <v>24</v>
      </c>
      <c r="Z66" s="34">
        <v>25</v>
      </c>
      <c r="AA66" s="34">
        <v>26</v>
      </c>
      <c r="AB66" s="33">
        <v>27</v>
      </c>
      <c r="AC66" s="33">
        <v>28</v>
      </c>
      <c r="AD66" s="33">
        <v>29</v>
      </c>
      <c r="AE66" s="33">
        <v>30</v>
      </c>
      <c r="AF66" s="20"/>
      <c r="AG66" s="57">
        <f t="shared" si="5"/>
        <v>0</v>
      </c>
      <c r="AH66" s="15"/>
      <c r="AI66" s="9"/>
      <c r="AJ66" s="9"/>
      <c r="AK66" s="9"/>
      <c r="AL66" s="9"/>
      <c r="AM66" s="9"/>
      <c r="AN66" s="9"/>
    </row>
    <row r="67" spans="1:40" s="8" customFormat="1" ht="17.100000000000001" customHeight="1" x14ac:dyDescent="0.3">
      <c r="A67" s="29" t="s">
        <v>21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20"/>
      <c r="AG67" s="57"/>
      <c r="AH67" s="15"/>
      <c r="AI67" s="9"/>
      <c r="AJ67" s="9"/>
      <c r="AK67" s="9"/>
      <c r="AL67" s="9"/>
      <c r="AM67" s="9"/>
      <c r="AN67" s="9"/>
    </row>
    <row r="68" spans="1:40" s="8" customFormat="1" ht="17.100000000000001" customHeight="1" x14ac:dyDescent="0.3">
      <c r="A68" s="30" t="s">
        <v>28</v>
      </c>
      <c r="B68" s="33">
        <v>1</v>
      </c>
      <c r="C68" s="33">
        <v>2</v>
      </c>
      <c r="D68" s="33">
        <v>3</v>
      </c>
      <c r="E68" s="34">
        <v>4</v>
      </c>
      <c r="F68" s="34">
        <v>5</v>
      </c>
      <c r="G68" s="33">
        <v>6</v>
      </c>
      <c r="H68" s="33">
        <v>7</v>
      </c>
      <c r="I68" s="33">
        <v>8</v>
      </c>
      <c r="J68" s="33">
        <v>9</v>
      </c>
      <c r="K68" s="33">
        <v>10</v>
      </c>
      <c r="L68" s="34">
        <v>11</v>
      </c>
      <c r="M68" s="34">
        <v>12</v>
      </c>
      <c r="N68" s="33">
        <v>13</v>
      </c>
      <c r="O68" s="33">
        <v>14</v>
      </c>
      <c r="P68" s="33">
        <v>15</v>
      </c>
      <c r="Q68" s="33">
        <v>16</v>
      </c>
      <c r="R68" s="33">
        <v>17</v>
      </c>
      <c r="S68" s="34">
        <v>18</v>
      </c>
      <c r="T68" s="34">
        <v>19</v>
      </c>
      <c r="U68" s="33">
        <v>20</v>
      </c>
      <c r="V68" s="33">
        <v>21</v>
      </c>
      <c r="W68" s="33">
        <v>22</v>
      </c>
      <c r="X68" s="33">
        <v>23</v>
      </c>
      <c r="Y68" s="33">
        <v>24</v>
      </c>
      <c r="Z68" s="34">
        <v>25</v>
      </c>
      <c r="AA68" s="34">
        <v>26</v>
      </c>
      <c r="AB68" s="33">
        <v>27</v>
      </c>
      <c r="AC68" s="33">
        <v>28</v>
      </c>
      <c r="AD68" s="33">
        <v>29</v>
      </c>
      <c r="AE68" s="33">
        <v>30</v>
      </c>
      <c r="AF68" s="20"/>
      <c r="AG68" s="57">
        <f t="shared" si="5"/>
        <v>0</v>
      </c>
      <c r="AH68" s="15"/>
      <c r="AI68" s="9"/>
      <c r="AJ68" s="9"/>
      <c r="AK68" s="9"/>
      <c r="AL68" s="9"/>
      <c r="AM68" s="9"/>
      <c r="AN68" s="9"/>
    </row>
    <row r="69" spans="1:40" s="8" customFormat="1" ht="17.100000000000001" customHeight="1" x14ac:dyDescent="0.3">
      <c r="A69" s="27" t="s">
        <v>17</v>
      </c>
      <c r="B69" s="33">
        <v>1</v>
      </c>
      <c r="C69" s="33">
        <v>2</v>
      </c>
      <c r="D69" s="33">
        <v>3</v>
      </c>
      <c r="E69" s="34">
        <v>4</v>
      </c>
      <c r="F69" s="34">
        <v>5</v>
      </c>
      <c r="G69" s="33">
        <v>6</v>
      </c>
      <c r="H69" s="33">
        <v>7</v>
      </c>
      <c r="I69" s="33">
        <v>8</v>
      </c>
      <c r="J69" s="33">
        <v>9</v>
      </c>
      <c r="K69" s="33">
        <v>10</v>
      </c>
      <c r="L69" s="34">
        <v>11</v>
      </c>
      <c r="M69" s="34">
        <v>12</v>
      </c>
      <c r="N69" s="33">
        <v>13</v>
      </c>
      <c r="O69" s="33">
        <v>14</v>
      </c>
      <c r="P69" s="33">
        <v>15</v>
      </c>
      <c r="Q69" s="33">
        <v>16</v>
      </c>
      <c r="R69" s="33">
        <v>17</v>
      </c>
      <c r="S69" s="34">
        <v>18</v>
      </c>
      <c r="T69" s="34">
        <v>19</v>
      </c>
      <c r="U69" s="33">
        <v>20</v>
      </c>
      <c r="V69" s="33">
        <v>21</v>
      </c>
      <c r="W69" s="33">
        <v>22</v>
      </c>
      <c r="X69" s="33">
        <v>23</v>
      </c>
      <c r="Y69" s="33">
        <v>24</v>
      </c>
      <c r="Z69" s="34">
        <v>25</v>
      </c>
      <c r="AA69" s="34">
        <v>26</v>
      </c>
      <c r="AB69" s="33">
        <v>27</v>
      </c>
      <c r="AC69" s="33">
        <v>28</v>
      </c>
      <c r="AD69" s="33">
        <v>29</v>
      </c>
      <c r="AE69" s="46" t="s">
        <v>22</v>
      </c>
      <c r="AF69" s="20"/>
      <c r="AG69" s="57">
        <f t="shared" si="5"/>
        <v>1</v>
      </c>
      <c r="AH69" s="15"/>
      <c r="AI69" s="9"/>
      <c r="AJ69" s="9"/>
      <c r="AK69" s="9"/>
      <c r="AL69" s="9"/>
      <c r="AM69" s="9"/>
      <c r="AN69" s="9"/>
    </row>
    <row r="70" spans="1:40" s="8" customFormat="1" ht="17.100000000000001" customHeight="1" x14ac:dyDescent="0.3">
      <c r="A70" s="30" t="s">
        <v>16</v>
      </c>
      <c r="B70" s="47" t="s">
        <v>22</v>
      </c>
      <c r="C70" s="47" t="s">
        <v>22</v>
      </c>
      <c r="D70" s="49">
        <v>3</v>
      </c>
      <c r="E70" s="47">
        <v>4</v>
      </c>
      <c r="F70" s="47">
        <v>5</v>
      </c>
      <c r="G70" s="49">
        <v>6</v>
      </c>
      <c r="H70" s="47" t="s">
        <v>22</v>
      </c>
      <c r="I70" s="33">
        <v>8</v>
      </c>
      <c r="J70" s="33">
        <v>9</v>
      </c>
      <c r="K70" s="33">
        <v>10</v>
      </c>
      <c r="L70" s="34">
        <v>11</v>
      </c>
      <c r="M70" s="34">
        <v>12</v>
      </c>
      <c r="N70" s="33">
        <v>13</v>
      </c>
      <c r="O70" s="33">
        <v>14</v>
      </c>
      <c r="P70" s="33">
        <v>15</v>
      </c>
      <c r="Q70" s="33">
        <v>16</v>
      </c>
      <c r="R70" s="33">
        <v>17</v>
      </c>
      <c r="S70" s="34">
        <v>18</v>
      </c>
      <c r="T70" s="34">
        <v>19</v>
      </c>
      <c r="U70" s="33">
        <v>20</v>
      </c>
      <c r="V70" s="33">
        <v>21</v>
      </c>
      <c r="W70" s="33">
        <v>22</v>
      </c>
      <c r="X70" s="33">
        <v>23</v>
      </c>
      <c r="Y70" s="33">
        <v>24</v>
      </c>
      <c r="Z70" s="34">
        <v>25</v>
      </c>
      <c r="AA70" s="34">
        <v>26</v>
      </c>
      <c r="AB70" s="33">
        <v>27</v>
      </c>
      <c r="AC70" s="33">
        <v>28</v>
      </c>
      <c r="AD70" s="33">
        <v>29</v>
      </c>
      <c r="AE70" s="47" t="s">
        <v>22</v>
      </c>
      <c r="AF70" s="20"/>
      <c r="AG70" s="57">
        <f t="shared" si="5"/>
        <v>4</v>
      </c>
      <c r="AH70" s="15"/>
      <c r="AI70" s="9"/>
      <c r="AJ70" s="9"/>
      <c r="AK70" s="9"/>
      <c r="AL70" s="9"/>
      <c r="AM70" s="9"/>
      <c r="AN70" s="9"/>
    </row>
    <row r="71" spans="1:40" s="8" customFormat="1" ht="17.100000000000001" customHeight="1" x14ac:dyDescent="0.3">
      <c r="A71" s="29" t="s">
        <v>20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20"/>
      <c r="AG71" s="57"/>
      <c r="AH71" s="15"/>
      <c r="AI71" s="9"/>
      <c r="AJ71" s="9"/>
      <c r="AK71" s="9"/>
      <c r="AL71" s="9"/>
      <c r="AM71" s="9"/>
      <c r="AN71" s="9"/>
    </row>
    <row r="72" spans="1:40" s="8" customFormat="1" ht="17.100000000000001" customHeight="1" x14ac:dyDescent="0.3">
      <c r="A72" s="27" t="s">
        <v>11</v>
      </c>
      <c r="B72" s="33">
        <v>1</v>
      </c>
      <c r="C72" s="33">
        <v>2</v>
      </c>
      <c r="D72" s="33">
        <v>3</v>
      </c>
      <c r="E72" s="34">
        <v>4</v>
      </c>
      <c r="F72" s="34">
        <v>5</v>
      </c>
      <c r="G72" s="33">
        <v>6</v>
      </c>
      <c r="H72" s="33">
        <v>7</v>
      </c>
      <c r="I72" s="33">
        <v>8</v>
      </c>
      <c r="J72" s="33">
        <v>9</v>
      </c>
      <c r="K72" s="33">
        <v>10</v>
      </c>
      <c r="L72" s="34">
        <v>11</v>
      </c>
      <c r="M72" s="34">
        <v>12</v>
      </c>
      <c r="N72" s="33">
        <v>13</v>
      </c>
      <c r="O72" s="33">
        <v>14</v>
      </c>
      <c r="P72" s="33">
        <v>15</v>
      </c>
      <c r="Q72" s="33">
        <v>16</v>
      </c>
      <c r="R72" s="33">
        <v>17</v>
      </c>
      <c r="S72" s="34">
        <v>18</v>
      </c>
      <c r="T72" s="34">
        <v>19</v>
      </c>
      <c r="U72" s="33">
        <v>20</v>
      </c>
      <c r="V72" s="33">
        <v>21</v>
      </c>
      <c r="W72" s="33">
        <v>22</v>
      </c>
      <c r="X72" s="33">
        <v>23</v>
      </c>
      <c r="Y72" s="33">
        <v>24</v>
      </c>
      <c r="Z72" s="34">
        <v>25</v>
      </c>
      <c r="AA72" s="34">
        <v>26</v>
      </c>
      <c r="AB72" s="33">
        <v>27</v>
      </c>
      <c r="AC72" s="33">
        <v>28</v>
      </c>
      <c r="AD72" s="33">
        <v>29</v>
      </c>
      <c r="AE72" s="33">
        <v>30</v>
      </c>
      <c r="AF72" s="20"/>
      <c r="AG72" s="57">
        <f t="shared" si="5"/>
        <v>0</v>
      </c>
      <c r="AH72" s="15"/>
      <c r="AI72" s="9"/>
      <c r="AJ72" s="9"/>
      <c r="AK72" s="9"/>
      <c r="AL72" s="9"/>
      <c r="AM72" s="9"/>
      <c r="AN72" s="9"/>
    </row>
    <row r="73" spans="1:40" s="8" customFormat="1" ht="17.100000000000001" customHeight="1" x14ac:dyDescent="0.3">
      <c r="A73" s="28" t="s">
        <v>12</v>
      </c>
      <c r="B73" s="46" t="s">
        <v>22</v>
      </c>
      <c r="C73" s="46" t="s">
        <v>22</v>
      </c>
      <c r="D73" s="48">
        <v>3</v>
      </c>
      <c r="E73" s="34">
        <v>4</v>
      </c>
      <c r="F73" s="34">
        <v>5</v>
      </c>
      <c r="G73" s="48">
        <v>6</v>
      </c>
      <c r="H73" s="46" t="s">
        <v>22</v>
      </c>
      <c r="I73" s="46" t="s">
        <v>22</v>
      </c>
      <c r="J73" s="46" t="s">
        <v>22</v>
      </c>
      <c r="K73" s="46" t="s">
        <v>22</v>
      </c>
      <c r="L73" s="34">
        <v>11</v>
      </c>
      <c r="M73" s="34">
        <v>12</v>
      </c>
      <c r="N73" s="33">
        <v>13</v>
      </c>
      <c r="O73" s="33">
        <v>14</v>
      </c>
      <c r="P73" s="33">
        <v>15</v>
      </c>
      <c r="Q73" s="46" t="s">
        <v>22</v>
      </c>
      <c r="R73" s="46" t="s">
        <v>22</v>
      </c>
      <c r="S73" s="34">
        <v>18</v>
      </c>
      <c r="T73" s="34">
        <v>19</v>
      </c>
      <c r="U73" s="33">
        <v>20</v>
      </c>
      <c r="V73" s="33">
        <v>21</v>
      </c>
      <c r="W73" s="33">
        <v>22</v>
      </c>
      <c r="X73" s="33">
        <v>23</v>
      </c>
      <c r="Y73" s="33">
        <v>24</v>
      </c>
      <c r="Z73" s="34">
        <v>25</v>
      </c>
      <c r="AA73" s="34">
        <v>26</v>
      </c>
      <c r="AB73" s="33">
        <v>27</v>
      </c>
      <c r="AC73" s="33">
        <v>28</v>
      </c>
      <c r="AD73" s="33">
        <v>29</v>
      </c>
      <c r="AE73" s="33">
        <v>30</v>
      </c>
      <c r="AF73" s="20"/>
      <c r="AG73" s="57">
        <f t="shared" si="5"/>
        <v>8</v>
      </c>
      <c r="AH73" s="15"/>
      <c r="AI73" s="9"/>
      <c r="AJ73" s="9"/>
      <c r="AK73" s="9"/>
      <c r="AL73" s="9"/>
      <c r="AM73" s="9"/>
      <c r="AN73" s="9"/>
    </row>
    <row r="74" spans="1:40" s="8" customFormat="1" ht="17.100000000000001" customHeight="1" x14ac:dyDescent="0.3">
      <c r="A74" s="27" t="s">
        <v>13</v>
      </c>
      <c r="B74" s="33">
        <v>1</v>
      </c>
      <c r="C74" s="33">
        <v>2</v>
      </c>
      <c r="D74" s="33">
        <v>3</v>
      </c>
      <c r="E74" s="34">
        <v>4</v>
      </c>
      <c r="F74" s="34">
        <v>5</v>
      </c>
      <c r="G74" s="33">
        <v>6</v>
      </c>
      <c r="H74" s="33">
        <v>7</v>
      </c>
      <c r="I74" s="33">
        <v>8</v>
      </c>
      <c r="J74" s="33">
        <v>9</v>
      </c>
      <c r="K74" s="33">
        <v>10</v>
      </c>
      <c r="L74" s="34">
        <v>11</v>
      </c>
      <c r="M74" s="34">
        <v>12</v>
      </c>
      <c r="N74" s="33">
        <v>13</v>
      </c>
      <c r="O74" s="33">
        <v>14</v>
      </c>
      <c r="P74" s="33">
        <v>15</v>
      </c>
      <c r="Q74" s="33">
        <v>16</v>
      </c>
      <c r="R74" s="33">
        <v>17</v>
      </c>
      <c r="S74" s="34">
        <v>18</v>
      </c>
      <c r="T74" s="34">
        <v>19</v>
      </c>
      <c r="U74" s="33">
        <v>20</v>
      </c>
      <c r="V74" s="33">
        <v>21</v>
      </c>
      <c r="W74" s="33">
        <v>22</v>
      </c>
      <c r="X74" s="33">
        <v>23</v>
      </c>
      <c r="Y74" s="33">
        <v>24</v>
      </c>
      <c r="Z74" s="34">
        <v>25</v>
      </c>
      <c r="AA74" s="34">
        <v>26</v>
      </c>
      <c r="AB74" s="33">
        <v>27</v>
      </c>
      <c r="AC74" s="33">
        <v>28</v>
      </c>
      <c r="AD74" s="33">
        <v>29</v>
      </c>
      <c r="AE74" s="33">
        <v>30</v>
      </c>
      <c r="AF74" s="20"/>
      <c r="AG74" s="57">
        <f t="shared" si="5"/>
        <v>0</v>
      </c>
      <c r="AH74" s="15"/>
      <c r="AI74" s="9"/>
      <c r="AJ74" s="9"/>
      <c r="AK74" s="9"/>
      <c r="AL74" s="9"/>
      <c r="AM74" s="9"/>
      <c r="AN74" s="9"/>
    </row>
    <row r="75" spans="1:40" s="8" customFormat="1" ht="17.100000000000001" customHeight="1" x14ac:dyDescent="0.3">
      <c r="A75" s="29" t="s">
        <v>19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20"/>
      <c r="AG75" s="57"/>
      <c r="AH75" s="15"/>
      <c r="AI75" s="9"/>
      <c r="AJ75" s="9"/>
      <c r="AK75" s="9"/>
      <c r="AL75" s="9"/>
      <c r="AM75" s="9"/>
      <c r="AN75" s="9"/>
    </row>
    <row r="76" spans="1:40" s="8" customFormat="1" ht="17.100000000000001" customHeight="1" x14ac:dyDescent="0.3">
      <c r="A76" s="27" t="s">
        <v>18</v>
      </c>
      <c r="B76" s="46" t="s">
        <v>22</v>
      </c>
      <c r="C76" s="46" t="s">
        <v>22</v>
      </c>
      <c r="D76" s="33">
        <v>3</v>
      </c>
      <c r="E76" s="34">
        <v>4</v>
      </c>
      <c r="F76" s="34">
        <v>5</v>
      </c>
      <c r="G76" s="33">
        <v>6</v>
      </c>
      <c r="H76" s="33">
        <v>7</v>
      </c>
      <c r="I76" s="33">
        <v>8</v>
      </c>
      <c r="J76" s="33">
        <v>9</v>
      </c>
      <c r="K76" s="33">
        <v>10</v>
      </c>
      <c r="L76" s="34">
        <v>11</v>
      </c>
      <c r="M76" s="34">
        <v>12</v>
      </c>
      <c r="N76" s="46" t="s">
        <v>22</v>
      </c>
      <c r="O76" s="46" t="s">
        <v>22</v>
      </c>
      <c r="P76" s="46" t="s">
        <v>22</v>
      </c>
      <c r="Q76" s="46" t="s">
        <v>22</v>
      </c>
      <c r="R76" s="46" t="s">
        <v>22</v>
      </c>
      <c r="S76" s="34">
        <v>18</v>
      </c>
      <c r="T76" s="34">
        <v>19</v>
      </c>
      <c r="U76" s="33">
        <v>20</v>
      </c>
      <c r="V76" s="33">
        <v>21</v>
      </c>
      <c r="W76" s="33">
        <v>22</v>
      </c>
      <c r="X76" s="33">
        <v>23</v>
      </c>
      <c r="Y76" s="33">
        <v>24</v>
      </c>
      <c r="Z76" s="34">
        <v>25</v>
      </c>
      <c r="AA76" s="34">
        <v>26</v>
      </c>
      <c r="AB76" s="33">
        <v>27</v>
      </c>
      <c r="AC76" s="33">
        <v>28</v>
      </c>
      <c r="AD76" s="33">
        <v>29</v>
      </c>
      <c r="AE76" s="33">
        <v>30</v>
      </c>
      <c r="AF76" s="20"/>
      <c r="AG76" s="57">
        <f t="shared" si="5"/>
        <v>7</v>
      </c>
      <c r="AH76" s="15"/>
      <c r="AI76" s="9"/>
      <c r="AJ76" s="9"/>
      <c r="AK76" s="9"/>
      <c r="AL76" s="9"/>
      <c r="AM76" s="9"/>
      <c r="AN76" s="9"/>
    </row>
    <row r="77" spans="1:40" s="8" customFormat="1" ht="17.100000000000001" customHeight="1" x14ac:dyDescent="0.3">
      <c r="A77" s="16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8"/>
      <c r="AH77" s="15"/>
      <c r="AI77" s="9"/>
      <c r="AJ77" s="9"/>
      <c r="AK77" s="9"/>
      <c r="AL77" s="9"/>
      <c r="AM77" s="9"/>
      <c r="AN77" s="9"/>
    </row>
    <row r="78" spans="1:40" s="8" customFormat="1" ht="17.100000000000001" customHeight="1" x14ac:dyDescent="0.3">
      <c r="A78" s="22">
        <v>46143</v>
      </c>
      <c r="B78" s="58" t="s">
        <v>1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15"/>
      <c r="AI78" s="9"/>
      <c r="AJ78" s="9"/>
      <c r="AK78" s="9"/>
      <c r="AL78" s="9"/>
      <c r="AM78" s="9"/>
      <c r="AN78" s="9"/>
    </row>
    <row r="79" spans="1:40" s="8" customFormat="1" ht="17.100000000000001" customHeight="1" x14ac:dyDescent="0.3">
      <c r="A79" s="13" t="s">
        <v>2</v>
      </c>
      <c r="B79" s="32" t="s">
        <v>3</v>
      </c>
      <c r="C79" s="32" t="s">
        <v>4</v>
      </c>
      <c r="D79" s="32" t="s">
        <v>4</v>
      </c>
      <c r="E79" s="32" t="s">
        <v>5</v>
      </c>
      <c r="F79" s="32" t="s">
        <v>6</v>
      </c>
      <c r="G79" s="32" t="s">
        <v>5</v>
      </c>
      <c r="H79" s="32" t="s">
        <v>6</v>
      </c>
      <c r="I79" s="32" t="s">
        <v>3</v>
      </c>
      <c r="J79" s="32" t="s">
        <v>4</v>
      </c>
      <c r="K79" s="32" t="s">
        <v>4</v>
      </c>
      <c r="L79" s="32" t="s">
        <v>5</v>
      </c>
      <c r="M79" s="32" t="s">
        <v>6</v>
      </c>
      <c r="N79" s="32" t="s">
        <v>5</v>
      </c>
      <c r="O79" s="32" t="s">
        <v>6</v>
      </c>
      <c r="P79" s="32" t="s">
        <v>3</v>
      </c>
      <c r="Q79" s="32" t="s">
        <v>4</v>
      </c>
      <c r="R79" s="32" t="s">
        <v>4</v>
      </c>
      <c r="S79" s="32" t="s">
        <v>5</v>
      </c>
      <c r="T79" s="32" t="s">
        <v>6</v>
      </c>
      <c r="U79" s="32" t="s">
        <v>5</v>
      </c>
      <c r="V79" s="32" t="s">
        <v>6</v>
      </c>
      <c r="W79" s="32" t="s">
        <v>3</v>
      </c>
      <c r="X79" s="32" t="s">
        <v>4</v>
      </c>
      <c r="Y79" s="32" t="s">
        <v>4</v>
      </c>
      <c r="Z79" s="32" t="s">
        <v>5</v>
      </c>
      <c r="AA79" s="32" t="s">
        <v>6</v>
      </c>
      <c r="AB79" s="32" t="s">
        <v>5</v>
      </c>
      <c r="AC79" s="32" t="s">
        <v>6</v>
      </c>
      <c r="AD79" s="32" t="s">
        <v>3</v>
      </c>
      <c r="AE79" s="32" t="s">
        <v>4</v>
      </c>
      <c r="AF79" s="32" t="s">
        <v>4</v>
      </c>
      <c r="AG79" s="21" t="s">
        <v>7</v>
      </c>
      <c r="AH79" s="15"/>
      <c r="AI79" s="9"/>
      <c r="AJ79" s="9"/>
      <c r="AK79" s="12"/>
      <c r="AL79" s="12"/>
      <c r="AM79" s="9"/>
      <c r="AN79" s="9"/>
    </row>
    <row r="80" spans="1:40" s="8" customFormat="1" ht="17.100000000000001" customHeight="1" x14ac:dyDescent="0.3">
      <c r="A80" s="27" t="s">
        <v>8</v>
      </c>
      <c r="B80" s="33">
        <v>1</v>
      </c>
      <c r="C80" s="38">
        <v>2</v>
      </c>
      <c r="D80" s="38">
        <v>3</v>
      </c>
      <c r="E80" s="38" t="s">
        <v>22</v>
      </c>
      <c r="F80" s="38" t="s">
        <v>22</v>
      </c>
      <c r="G80" s="38" t="s">
        <v>22</v>
      </c>
      <c r="H80" s="38" t="s">
        <v>22</v>
      </c>
      <c r="I80" s="38" t="s">
        <v>22</v>
      </c>
      <c r="J80" s="38">
        <v>9</v>
      </c>
      <c r="K80" s="38">
        <v>10</v>
      </c>
      <c r="L80" s="33">
        <v>11</v>
      </c>
      <c r="M80" s="33">
        <v>12</v>
      </c>
      <c r="N80" s="33">
        <v>13</v>
      </c>
      <c r="O80" s="33">
        <v>14</v>
      </c>
      <c r="P80" s="33">
        <v>15</v>
      </c>
      <c r="Q80" s="34">
        <v>16</v>
      </c>
      <c r="R80" s="34">
        <v>17</v>
      </c>
      <c r="S80" s="33">
        <v>18</v>
      </c>
      <c r="T80" s="33">
        <v>19</v>
      </c>
      <c r="U80" s="33">
        <v>20</v>
      </c>
      <c r="V80" s="33">
        <v>21</v>
      </c>
      <c r="W80" s="33">
        <v>22</v>
      </c>
      <c r="X80" s="34">
        <v>23</v>
      </c>
      <c r="Y80" s="34">
        <v>24</v>
      </c>
      <c r="Z80" s="33">
        <v>25</v>
      </c>
      <c r="AA80" s="33">
        <v>26</v>
      </c>
      <c r="AB80" s="33">
        <v>27</v>
      </c>
      <c r="AC80" s="33">
        <v>28</v>
      </c>
      <c r="AD80" s="33">
        <v>29</v>
      </c>
      <c r="AE80" s="34">
        <v>30</v>
      </c>
      <c r="AF80" s="34">
        <v>31</v>
      </c>
      <c r="AG80" s="57">
        <f t="shared" ref="AG80:AG95" si="6">COUNTIF($B80:$AF80,"U")</f>
        <v>5</v>
      </c>
      <c r="AH80" s="15"/>
      <c r="AI80" s="9"/>
      <c r="AJ80" s="9"/>
      <c r="AK80" s="9"/>
      <c r="AL80" s="9"/>
      <c r="AM80" s="9"/>
      <c r="AN80" s="9"/>
    </row>
    <row r="81" spans="1:40" ht="17.100000000000001" customHeight="1" x14ac:dyDescent="0.25">
      <c r="A81" s="28" t="s">
        <v>14</v>
      </c>
      <c r="B81" s="33">
        <v>1</v>
      </c>
      <c r="C81" s="34">
        <v>2</v>
      </c>
      <c r="D81" s="34">
        <v>3</v>
      </c>
      <c r="E81" s="33">
        <v>4</v>
      </c>
      <c r="F81" s="33">
        <v>5</v>
      </c>
      <c r="G81" s="33">
        <v>6</v>
      </c>
      <c r="H81" s="33">
        <v>7</v>
      </c>
      <c r="I81" s="33">
        <v>8</v>
      </c>
      <c r="J81" s="34">
        <v>9</v>
      </c>
      <c r="K81" s="34">
        <v>10</v>
      </c>
      <c r="L81" s="33">
        <v>11</v>
      </c>
      <c r="M81" s="33">
        <v>12</v>
      </c>
      <c r="N81" s="33">
        <v>13</v>
      </c>
      <c r="O81" s="33">
        <v>14</v>
      </c>
      <c r="P81" s="33">
        <v>15</v>
      </c>
      <c r="Q81" s="34">
        <v>16</v>
      </c>
      <c r="R81" s="34">
        <v>17</v>
      </c>
      <c r="S81" s="33">
        <v>18</v>
      </c>
      <c r="T81" s="33">
        <v>19</v>
      </c>
      <c r="U81" s="33">
        <v>20</v>
      </c>
      <c r="V81" s="33">
        <v>21</v>
      </c>
      <c r="W81" s="33">
        <v>22</v>
      </c>
      <c r="X81" s="34">
        <v>23</v>
      </c>
      <c r="Y81" s="34">
        <v>24</v>
      </c>
      <c r="Z81" s="33">
        <v>25</v>
      </c>
      <c r="AA81" s="33">
        <v>26</v>
      </c>
      <c r="AB81" s="33">
        <v>27</v>
      </c>
      <c r="AC81" s="33">
        <v>28</v>
      </c>
      <c r="AD81" s="33">
        <v>29</v>
      </c>
      <c r="AE81" s="34">
        <v>30</v>
      </c>
      <c r="AF81" s="34">
        <v>31</v>
      </c>
      <c r="AG81" s="57">
        <f t="shared" si="6"/>
        <v>0</v>
      </c>
      <c r="AH81" s="15"/>
      <c r="AI81" s="9"/>
      <c r="AJ81" s="9"/>
      <c r="AK81" s="9"/>
      <c r="AL81" s="9"/>
      <c r="AM81" s="9"/>
      <c r="AN81" s="9"/>
    </row>
    <row r="82" spans="1:40" s="7" customFormat="1" ht="20.100000000000001" customHeight="1" x14ac:dyDescent="0.25">
      <c r="A82" s="27" t="s">
        <v>9</v>
      </c>
      <c r="B82" s="33">
        <v>1</v>
      </c>
      <c r="C82" s="34">
        <v>2</v>
      </c>
      <c r="D82" s="34">
        <v>3</v>
      </c>
      <c r="E82" s="33">
        <v>4</v>
      </c>
      <c r="F82" s="33">
        <v>5</v>
      </c>
      <c r="G82" s="33">
        <v>6</v>
      </c>
      <c r="H82" s="33">
        <v>7</v>
      </c>
      <c r="I82" s="33">
        <v>8</v>
      </c>
      <c r="J82" s="34">
        <v>9</v>
      </c>
      <c r="K82" s="34">
        <v>10</v>
      </c>
      <c r="L82" s="33">
        <v>11</v>
      </c>
      <c r="M82" s="33">
        <v>12</v>
      </c>
      <c r="N82" s="33">
        <v>13</v>
      </c>
      <c r="O82" s="33">
        <v>14</v>
      </c>
      <c r="P82" s="33">
        <v>15</v>
      </c>
      <c r="Q82" s="34">
        <v>16</v>
      </c>
      <c r="R82" s="34">
        <v>17</v>
      </c>
      <c r="S82" s="33">
        <v>18</v>
      </c>
      <c r="T82" s="33">
        <v>19</v>
      </c>
      <c r="U82" s="33">
        <v>20</v>
      </c>
      <c r="V82" s="33">
        <v>21</v>
      </c>
      <c r="W82" s="33">
        <v>22</v>
      </c>
      <c r="X82" s="34">
        <v>23</v>
      </c>
      <c r="Y82" s="34">
        <v>24</v>
      </c>
      <c r="Z82" s="33">
        <v>25</v>
      </c>
      <c r="AA82" s="33">
        <v>26</v>
      </c>
      <c r="AB82" s="33">
        <v>27</v>
      </c>
      <c r="AC82" s="33">
        <v>28</v>
      </c>
      <c r="AD82" s="33">
        <v>29</v>
      </c>
      <c r="AE82" s="34">
        <v>30</v>
      </c>
      <c r="AF82" s="34">
        <v>31</v>
      </c>
      <c r="AG82" s="57">
        <f t="shared" si="6"/>
        <v>0</v>
      </c>
      <c r="AH82" s="11"/>
      <c r="AI82" s="12"/>
      <c r="AJ82" s="12"/>
      <c r="AK82" s="9"/>
      <c r="AL82" s="9"/>
      <c r="AM82" s="12"/>
      <c r="AN82" s="12"/>
    </row>
    <row r="83" spans="1:40" s="8" customFormat="1" ht="17.100000000000001" customHeight="1" x14ac:dyDescent="0.3">
      <c r="A83" s="28" t="s">
        <v>10</v>
      </c>
      <c r="B83" s="49">
        <v>1</v>
      </c>
      <c r="C83" s="47">
        <v>2</v>
      </c>
      <c r="D83" s="47">
        <v>3</v>
      </c>
      <c r="E83" s="33">
        <v>4</v>
      </c>
      <c r="F83" s="33">
        <v>5</v>
      </c>
      <c r="G83" s="33">
        <v>6</v>
      </c>
      <c r="H83" s="33">
        <v>7</v>
      </c>
      <c r="I83" s="33">
        <v>8</v>
      </c>
      <c r="J83" s="34">
        <v>9</v>
      </c>
      <c r="K83" s="34">
        <v>10</v>
      </c>
      <c r="L83" s="33">
        <v>11</v>
      </c>
      <c r="M83" s="33">
        <v>12</v>
      </c>
      <c r="N83" s="33">
        <v>13</v>
      </c>
      <c r="O83" s="49">
        <v>14</v>
      </c>
      <c r="P83" s="47" t="s">
        <v>22</v>
      </c>
      <c r="Q83" s="47">
        <v>16</v>
      </c>
      <c r="R83" s="47">
        <v>17</v>
      </c>
      <c r="S83" s="33">
        <v>18</v>
      </c>
      <c r="T83" s="33">
        <v>19</v>
      </c>
      <c r="U83" s="33">
        <v>20</v>
      </c>
      <c r="V83" s="33">
        <v>21</v>
      </c>
      <c r="W83" s="33">
        <v>22</v>
      </c>
      <c r="X83" s="34">
        <v>23</v>
      </c>
      <c r="Y83" s="34">
        <v>24</v>
      </c>
      <c r="Z83" s="33">
        <v>25</v>
      </c>
      <c r="AA83" s="33">
        <v>26</v>
      </c>
      <c r="AB83" s="33">
        <v>27</v>
      </c>
      <c r="AC83" s="33">
        <v>28</v>
      </c>
      <c r="AD83" s="33">
        <v>29</v>
      </c>
      <c r="AE83" s="34">
        <v>30</v>
      </c>
      <c r="AF83" s="34">
        <v>31</v>
      </c>
      <c r="AG83" s="57">
        <f t="shared" si="6"/>
        <v>1</v>
      </c>
      <c r="AH83" s="15"/>
      <c r="AI83" s="9"/>
      <c r="AJ83" s="9"/>
      <c r="AK83" s="9"/>
      <c r="AL83" s="9"/>
      <c r="AM83" s="9"/>
      <c r="AN83" s="9"/>
    </row>
    <row r="84" spans="1:40" s="8" customFormat="1" ht="17.100000000000001" customHeight="1" x14ac:dyDescent="0.3">
      <c r="A84" s="27" t="s">
        <v>15</v>
      </c>
      <c r="B84" s="33">
        <v>1</v>
      </c>
      <c r="C84" s="34">
        <v>2</v>
      </c>
      <c r="D84" s="34">
        <v>3</v>
      </c>
      <c r="E84" s="33">
        <v>4</v>
      </c>
      <c r="F84" s="33">
        <v>5</v>
      </c>
      <c r="G84" s="33">
        <v>6</v>
      </c>
      <c r="H84" s="33">
        <v>7</v>
      </c>
      <c r="I84" s="33">
        <v>8</v>
      </c>
      <c r="J84" s="34">
        <v>9</v>
      </c>
      <c r="K84" s="34">
        <v>10</v>
      </c>
      <c r="L84" s="33">
        <v>11</v>
      </c>
      <c r="M84" s="33">
        <v>12</v>
      </c>
      <c r="N84" s="33">
        <v>13</v>
      </c>
      <c r="O84" s="33">
        <v>14</v>
      </c>
      <c r="P84" s="33">
        <v>15</v>
      </c>
      <c r="Q84" s="34">
        <v>16</v>
      </c>
      <c r="R84" s="34">
        <v>17</v>
      </c>
      <c r="S84" s="33">
        <v>18</v>
      </c>
      <c r="T84" s="33">
        <v>19</v>
      </c>
      <c r="U84" s="33">
        <v>20</v>
      </c>
      <c r="V84" s="33">
        <v>21</v>
      </c>
      <c r="W84" s="33">
        <v>22</v>
      </c>
      <c r="X84" s="34">
        <v>23</v>
      </c>
      <c r="Y84" s="34">
        <v>24</v>
      </c>
      <c r="Z84" s="33">
        <v>25</v>
      </c>
      <c r="AA84" s="33">
        <v>26</v>
      </c>
      <c r="AB84" s="40" t="s">
        <v>22</v>
      </c>
      <c r="AC84" s="40" t="s">
        <v>22</v>
      </c>
      <c r="AD84" s="40" t="s">
        <v>22</v>
      </c>
      <c r="AE84" s="40">
        <v>30</v>
      </c>
      <c r="AF84" s="40">
        <v>31</v>
      </c>
      <c r="AG84" s="57">
        <f>COUNTIF($B84:$AF84,"U")</f>
        <v>3</v>
      </c>
      <c r="AH84" s="15"/>
      <c r="AI84" s="9"/>
      <c r="AJ84" s="9"/>
      <c r="AK84" s="9"/>
      <c r="AL84" s="9"/>
      <c r="AM84" s="9"/>
      <c r="AN84" s="9"/>
    </row>
    <row r="85" spans="1:40" s="8" customFormat="1" ht="17.100000000000001" customHeight="1" x14ac:dyDescent="0.3">
      <c r="A85" s="28" t="s">
        <v>29</v>
      </c>
      <c r="B85" s="33">
        <v>1</v>
      </c>
      <c r="C85" s="34">
        <v>2</v>
      </c>
      <c r="D85" s="34">
        <v>3</v>
      </c>
      <c r="E85" s="33">
        <v>4</v>
      </c>
      <c r="F85" s="33">
        <v>5</v>
      </c>
      <c r="G85" s="33">
        <v>6</v>
      </c>
      <c r="H85" s="33">
        <v>7</v>
      </c>
      <c r="I85" s="33">
        <v>8</v>
      </c>
      <c r="J85" s="34">
        <v>9</v>
      </c>
      <c r="K85" s="34">
        <v>10</v>
      </c>
      <c r="L85" s="33">
        <v>11</v>
      </c>
      <c r="M85" s="33">
        <v>12</v>
      </c>
      <c r="N85" s="33">
        <v>13</v>
      </c>
      <c r="O85" s="33">
        <v>14</v>
      </c>
      <c r="P85" s="33">
        <v>15</v>
      </c>
      <c r="Q85" s="34">
        <v>16</v>
      </c>
      <c r="R85" s="34">
        <v>17</v>
      </c>
      <c r="S85" s="33">
        <v>18</v>
      </c>
      <c r="T85" s="33">
        <v>19</v>
      </c>
      <c r="U85" s="33">
        <v>20</v>
      </c>
      <c r="V85" s="33">
        <v>21</v>
      </c>
      <c r="W85" s="33">
        <v>22</v>
      </c>
      <c r="X85" s="34">
        <v>23</v>
      </c>
      <c r="Y85" s="34">
        <v>24</v>
      </c>
      <c r="Z85" s="33">
        <v>25</v>
      </c>
      <c r="AA85" s="33">
        <v>26</v>
      </c>
      <c r="AB85" s="33">
        <v>27</v>
      </c>
      <c r="AC85" s="33">
        <v>28</v>
      </c>
      <c r="AD85" s="33">
        <v>29</v>
      </c>
      <c r="AE85" s="34">
        <v>30</v>
      </c>
      <c r="AF85" s="34">
        <v>31</v>
      </c>
      <c r="AG85" s="57">
        <f t="shared" si="6"/>
        <v>0</v>
      </c>
      <c r="AH85" s="15"/>
      <c r="AI85" s="9"/>
      <c r="AJ85" s="9"/>
      <c r="AK85" s="9"/>
      <c r="AL85" s="9"/>
      <c r="AM85" s="9"/>
      <c r="AN85" s="9"/>
    </row>
    <row r="86" spans="1:40" s="8" customFormat="1" ht="17.100000000000001" customHeight="1" x14ac:dyDescent="0.3">
      <c r="A86" s="29" t="s">
        <v>21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57"/>
      <c r="AH86" s="15"/>
      <c r="AI86" s="9"/>
      <c r="AJ86" s="9"/>
      <c r="AK86" s="9"/>
      <c r="AL86" s="9"/>
      <c r="AM86" s="9"/>
      <c r="AN86" s="9"/>
    </row>
    <row r="87" spans="1:40" s="8" customFormat="1" ht="17.100000000000001" customHeight="1" x14ac:dyDescent="0.3">
      <c r="A87" s="30" t="s">
        <v>28</v>
      </c>
      <c r="B87" s="33">
        <v>1</v>
      </c>
      <c r="C87" s="34">
        <v>2</v>
      </c>
      <c r="D87" s="34">
        <v>3</v>
      </c>
      <c r="E87" s="33">
        <v>4</v>
      </c>
      <c r="F87" s="33">
        <v>5</v>
      </c>
      <c r="G87" s="33">
        <v>6</v>
      </c>
      <c r="H87" s="33">
        <v>7</v>
      </c>
      <c r="I87" s="33">
        <v>8</v>
      </c>
      <c r="J87" s="34">
        <v>9</v>
      </c>
      <c r="K87" s="34">
        <v>10</v>
      </c>
      <c r="L87" s="33">
        <v>11</v>
      </c>
      <c r="M87" s="33">
        <v>12</v>
      </c>
      <c r="N87" s="33">
        <v>13</v>
      </c>
      <c r="O87" s="33">
        <v>14</v>
      </c>
      <c r="P87" s="33">
        <v>15</v>
      </c>
      <c r="Q87" s="34">
        <v>16</v>
      </c>
      <c r="R87" s="34">
        <v>17</v>
      </c>
      <c r="S87" s="33">
        <v>18</v>
      </c>
      <c r="T87" s="33">
        <v>19</v>
      </c>
      <c r="U87" s="33">
        <v>20</v>
      </c>
      <c r="V87" s="33">
        <v>21</v>
      </c>
      <c r="W87" s="33">
        <v>22</v>
      </c>
      <c r="X87" s="34">
        <v>23</v>
      </c>
      <c r="Y87" s="34">
        <v>24</v>
      </c>
      <c r="Z87" s="33">
        <v>25</v>
      </c>
      <c r="AA87" s="33">
        <v>26</v>
      </c>
      <c r="AB87" s="33">
        <v>27</v>
      </c>
      <c r="AC87" s="33">
        <v>28</v>
      </c>
      <c r="AD87" s="33">
        <v>29</v>
      </c>
      <c r="AE87" s="34">
        <v>30</v>
      </c>
      <c r="AF87" s="34">
        <v>31</v>
      </c>
      <c r="AG87" s="57">
        <f t="shared" si="6"/>
        <v>0</v>
      </c>
      <c r="AH87" s="15"/>
      <c r="AI87" s="9"/>
      <c r="AJ87" s="9"/>
      <c r="AK87" s="9"/>
      <c r="AL87" s="9"/>
      <c r="AM87" s="9"/>
      <c r="AN87" s="9"/>
    </row>
    <row r="88" spans="1:40" s="8" customFormat="1" ht="17.100000000000001" customHeight="1" x14ac:dyDescent="0.3">
      <c r="A88" s="27" t="s">
        <v>17</v>
      </c>
      <c r="B88" s="33">
        <v>1</v>
      </c>
      <c r="C88" s="34">
        <v>2</v>
      </c>
      <c r="D88" s="34">
        <v>3</v>
      </c>
      <c r="E88" s="33">
        <v>4</v>
      </c>
      <c r="F88" s="33">
        <v>5</v>
      </c>
      <c r="G88" s="33">
        <v>6</v>
      </c>
      <c r="H88" s="33">
        <v>7</v>
      </c>
      <c r="I88" s="33">
        <v>8</v>
      </c>
      <c r="J88" s="34">
        <v>9</v>
      </c>
      <c r="K88" s="34">
        <v>10</v>
      </c>
      <c r="L88" s="33">
        <v>11</v>
      </c>
      <c r="M88" s="33">
        <v>12</v>
      </c>
      <c r="N88" s="33">
        <v>13</v>
      </c>
      <c r="O88" s="33">
        <v>14</v>
      </c>
      <c r="P88" s="46" t="s">
        <v>22</v>
      </c>
      <c r="Q88" s="46">
        <v>16</v>
      </c>
      <c r="R88" s="46">
        <v>17</v>
      </c>
      <c r="S88" s="46" t="s">
        <v>22</v>
      </c>
      <c r="T88" s="46" t="s">
        <v>22</v>
      </c>
      <c r="U88" s="46" t="s">
        <v>22</v>
      </c>
      <c r="V88" s="46" t="s">
        <v>22</v>
      </c>
      <c r="W88" s="46" t="s">
        <v>22</v>
      </c>
      <c r="X88" s="34">
        <v>23</v>
      </c>
      <c r="Y88" s="34">
        <v>24</v>
      </c>
      <c r="Z88" s="33">
        <v>25</v>
      </c>
      <c r="AA88" s="33">
        <v>26</v>
      </c>
      <c r="AB88" s="33">
        <v>27</v>
      </c>
      <c r="AC88" s="33">
        <v>28</v>
      </c>
      <c r="AD88" s="33">
        <v>29</v>
      </c>
      <c r="AE88" s="34">
        <v>30</v>
      </c>
      <c r="AF88" s="34">
        <v>31</v>
      </c>
      <c r="AG88" s="57">
        <f t="shared" si="6"/>
        <v>6</v>
      </c>
      <c r="AH88" s="15"/>
      <c r="AI88" s="9"/>
      <c r="AJ88" s="9"/>
      <c r="AK88" s="9"/>
      <c r="AL88" s="9"/>
      <c r="AM88" s="9"/>
      <c r="AN88" s="9"/>
    </row>
    <row r="89" spans="1:40" s="8" customFormat="1" ht="17.100000000000001" customHeight="1" x14ac:dyDescent="0.3">
      <c r="A89" s="30" t="s">
        <v>16</v>
      </c>
      <c r="B89" s="49">
        <v>1</v>
      </c>
      <c r="C89" s="47">
        <v>2</v>
      </c>
      <c r="D89" s="47">
        <v>3</v>
      </c>
      <c r="E89" s="47" t="s">
        <v>22</v>
      </c>
      <c r="F89" s="33">
        <v>5</v>
      </c>
      <c r="G89" s="33">
        <v>6</v>
      </c>
      <c r="H89" s="33">
        <v>7</v>
      </c>
      <c r="I89" s="33">
        <v>8</v>
      </c>
      <c r="J89" s="34">
        <v>9</v>
      </c>
      <c r="K89" s="34">
        <v>10</v>
      </c>
      <c r="L89" s="33">
        <v>11</v>
      </c>
      <c r="M89" s="33">
        <v>12</v>
      </c>
      <c r="N89" s="33">
        <v>13</v>
      </c>
      <c r="O89" s="33">
        <v>14</v>
      </c>
      <c r="P89" s="47" t="s">
        <v>22</v>
      </c>
      <c r="Q89" s="34">
        <v>16</v>
      </c>
      <c r="R89" s="34">
        <v>17</v>
      </c>
      <c r="S89" s="33">
        <v>18</v>
      </c>
      <c r="T89" s="33">
        <v>19</v>
      </c>
      <c r="U89" s="33">
        <v>20</v>
      </c>
      <c r="V89" s="33">
        <v>21</v>
      </c>
      <c r="W89" s="33">
        <v>22</v>
      </c>
      <c r="X89" s="34">
        <v>23</v>
      </c>
      <c r="Y89" s="34">
        <v>24</v>
      </c>
      <c r="Z89" s="33">
        <v>25</v>
      </c>
      <c r="AA89" s="33">
        <v>26</v>
      </c>
      <c r="AB89" s="33">
        <v>27</v>
      </c>
      <c r="AC89" s="33">
        <v>28</v>
      </c>
      <c r="AD89" s="33">
        <v>29</v>
      </c>
      <c r="AE89" s="34">
        <v>30</v>
      </c>
      <c r="AF89" s="34">
        <v>31</v>
      </c>
      <c r="AG89" s="57">
        <f t="shared" si="6"/>
        <v>2</v>
      </c>
      <c r="AH89" s="15"/>
      <c r="AI89" s="9"/>
      <c r="AJ89" s="9"/>
      <c r="AK89" s="9"/>
      <c r="AL89" s="9"/>
      <c r="AM89" s="9"/>
      <c r="AN89" s="9"/>
    </row>
    <row r="90" spans="1:40" s="8" customFormat="1" ht="17.100000000000001" customHeight="1" x14ac:dyDescent="0.3">
      <c r="A90" s="29" t="s">
        <v>20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57"/>
      <c r="AH90" s="15"/>
      <c r="AI90" s="9"/>
      <c r="AJ90" s="9"/>
      <c r="AK90" s="9"/>
      <c r="AL90" s="9"/>
      <c r="AM90" s="9"/>
      <c r="AN90" s="9"/>
    </row>
    <row r="91" spans="1:40" s="8" customFormat="1" ht="17.100000000000001" customHeight="1" x14ac:dyDescent="0.3">
      <c r="A91" s="27" t="s">
        <v>11</v>
      </c>
      <c r="B91" s="33">
        <v>1</v>
      </c>
      <c r="C91" s="34">
        <v>2</v>
      </c>
      <c r="D91" s="34">
        <v>3</v>
      </c>
      <c r="E91" s="33">
        <v>4</v>
      </c>
      <c r="F91" s="33">
        <v>5</v>
      </c>
      <c r="G91" s="33">
        <v>6</v>
      </c>
      <c r="H91" s="33">
        <v>7</v>
      </c>
      <c r="I91" s="33">
        <v>8</v>
      </c>
      <c r="J91" s="34">
        <v>9</v>
      </c>
      <c r="K91" s="34">
        <v>10</v>
      </c>
      <c r="L91" s="33">
        <v>11</v>
      </c>
      <c r="M91" s="33">
        <v>12</v>
      </c>
      <c r="N91" s="33">
        <v>13</v>
      </c>
      <c r="O91" s="33">
        <v>14</v>
      </c>
      <c r="P91" s="33">
        <v>15</v>
      </c>
      <c r="Q91" s="34">
        <v>16</v>
      </c>
      <c r="R91" s="34">
        <v>17</v>
      </c>
      <c r="S91" s="33">
        <v>18</v>
      </c>
      <c r="T91" s="33">
        <v>19</v>
      </c>
      <c r="U91" s="33">
        <v>20</v>
      </c>
      <c r="V91" s="33">
        <v>21</v>
      </c>
      <c r="W91" s="33">
        <v>22</v>
      </c>
      <c r="X91" s="34">
        <v>23</v>
      </c>
      <c r="Y91" s="34">
        <v>24</v>
      </c>
      <c r="Z91" s="38">
        <v>25</v>
      </c>
      <c r="AA91" s="33">
        <v>26</v>
      </c>
      <c r="AB91" s="38" t="s">
        <v>22</v>
      </c>
      <c r="AC91" s="38" t="s">
        <v>22</v>
      </c>
      <c r="AD91" s="38" t="s">
        <v>22</v>
      </c>
      <c r="AE91" s="38">
        <v>30</v>
      </c>
      <c r="AF91" s="38">
        <v>31</v>
      </c>
      <c r="AG91" s="57">
        <f t="shared" si="6"/>
        <v>3</v>
      </c>
      <c r="AH91" s="15"/>
      <c r="AI91" s="9"/>
      <c r="AJ91" s="9"/>
      <c r="AK91" s="9"/>
      <c r="AL91" s="9"/>
      <c r="AM91" s="9"/>
      <c r="AN91" s="9"/>
    </row>
    <row r="92" spans="1:40" s="8" customFormat="1" ht="17.100000000000001" customHeight="1" x14ac:dyDescent="0.3">
      <c r="A92" s="28" t="s">
        <v>12</v>
      </c>
      <c r="B92" s="33">
        <v>1</v>
      </c>
      <c r="C92" s="34">
        <v>2</v>
      </c>
      <c r="D92" s="34">
        <v>3</v>
      </c>
      <c r="E92" s="33">
        <v>4</v>
      </c>
      <c r="F92" s="33">
        <v>5</v>
      </c>
      <c r="G92" s="33">
        <v>6</v>
      </c>
      <c r="H92" s="33">
        <v>7</v>
      </c>
      <c r="I92" s="33">
        <v>8</v>
      </c>
      <c r="J92" s="34">
        <v>9</v>
      </c>
      <c r="K92" s="34">
        <v>10</v>
      </c>
      <c r="L92" s="46" t="s">
        <v>22</v>
      </c>
      <c r="M92" s="46" t="s">
        <v>22</v>
      </c>
      <c r="N92" s="46" t="s">
        <v>22</v>
      </c>
      <c r="O92" s="48">
        <v>14</v>
      </c>
      <c r="P92" s="46" t="s">
        <v>22</v>
      </c>
      <c r="Q92" s="46">
        <v>16</v>
      </c>
      <c r="R92" s="46">
        <v>17</v>
      </c>
      <c r="S92" s="46" t="s">
        <v>22</v>
      </c>
      <c r="T92" s="46" t="s">
        <v>22</v>
      </c>
      <c r="U92" s="46" t="s">
        <v>22</v>
      </c>
      <c r="V92" s="46" t="s">
        <v>22</v>
      </c>
      <c r="W92" s="46" t="s">
        <v>22</v>
      </c>
      <c r="X92" s="34">
        <v>23</v>
      </c>
      <c r="Y92" s="34">
        <v>24</v>
      </c>
      <c r="Z92" s="33">
        <v>25</v>
      </c>
      <c r="AA92" s="33">
        <v>26</v>
      </c>
      <c r="AB92" s="33">
        <v>27</v>
      </c>
      <c r="AC92" s="33">
        <v>28</v>
      </c>
      <c r="AD92" s="33">
        <v>29</v>
      </c>
      <c r="AE92" s="34">
        <v>30</v>
      </c>
      <c r="AF92" s="34">
        <v>31</v>
      </c>
      <c r="AG92" s="57">
        <f t="shared" si="6"/>
        <v>9</v>
      </c>
      <c r="AH92" s="15"/>
      <c r="AI92" s="9"/>
      <c r="AJ92" s="9"/>
      <c r="AK92" s="9"/>
      <c r="AL92" s="9"/>
      <c r="AM92" s="9"/>
      <c r="AN92" s="9"/>
    </row>
    <row r="93" spans="1:40" s="8" customFormat="1" ht="17.100000000000001" customHeight="1" x14ac:dyDescent="0.3">
      <c r="A93" s="27" t="s">
        <v>13</v>
      </c>
      <c r="B93" s="33">
        <v>1</v>
      </c>
      <c r="C93" s="34">
        <v>2</v>
      </c>
      <c r="D93" s="34">
        <v>3</v>
      </c>
      <c r="E93" s="33">
        <v>4</v>
      </c>
      <c r="F93" s="33">
        <v>5</v>
      </c>
      <c r="G93" s="33">
        <v>6</v>
      </c>
      <c r="H93" s="33">
        <v>7</v>
      </c>
      <c r="I93" s="33">
        <v>8</v>
      </c>
      <c r="J93" s="34">
        <v>9</v>
      </c>
      <c r="K93" s="34">
        <v>10</v>
      </c>
      <c r="L93" s="33">
        <v>11</v>
      </c>
      <c r="M93" s="33">
        <v>12</v>
      </c>
      <c r="N93" s="33">
        <v>13</v>
      </c>
      <c r="O93" s="33">
        <v>14</v>
      </c>
      <c r="P93" s="33">
        <v>15</v>
      </c>
      <c r="Q93" s="34">
        <v>16</v>
      </c>
      <c r="R93" s="34">
        <v>17</v>
      </c>
      <c r="S93" s="33">
        <v>18</v>
      </c>
      <c r="T93" s="33">
        <v>19</v>
      </c>
      <c r="U93" s="33">
        <v>20</v>
      </c>
      <c r="V93" s="33">
        <v>21</v>
      </c>
      <c r="W93" s="33">
        <v>22</v>
      </c>
      <c r="X93" s="34">
        <v>23</v>
      </c>
      <c r="Y93" s="34">
        <v>24</v>
      </c>
      <c r="Z93" s="33">
        <v>25</v>
      </c>
      <c r="AA93" s="33">
        <v>26</v>
      </c>
      <c r="AB93" s="33">
        <v>27</v>
      </c>
      <c r="AC93" s="33">
        <v>28</v>
      </c>
      <c r="AD93" s="33">
        <v>29</v>
      </c>
      <c r="AE93" s="34">
        <v>30</v>
      </c>
      <c r="AF93" s="34">
        <v>31</v>
      </c>
      <c r="AG93" s="57">
        <f t="shared" si="6"/>
        <v>0</v>
      </c>
      <c r="AH93" s="15"/>
      <c r="AI93" s="9"/>
      <c r="AJ93" s="9"/>
      <c r="AK93" s="9"/>
      <c r="AL93" s="9"/>
      <c r="AM93" s="9"/>
      <c r="AN93" s="9"/>
    </row>
    <row r="94" spans="1:40" s="8" customFormat="1" ht="17.100000000000001" customHeight="1" x14ac:dyDescent="0.3">
      <c r="A94" s="29" t="s">
        <v>19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57"/>
      <c r="AH94" s="15"/>
      <c r="AI94" s="9"/>
      <c r="AJ94" s="9"/>
      <c r="AK94" s="9"/>
      <c r="AL94" s="9"/>
      <c r="AM94" s="9"/>
      <c r="AN94" s="9"/>
    </row>
    <row r="95" spans="1:40" s="8" customFormat="1" ht="17.100000000000001" customHeight="1" x14ac:dyDescent="0.3">
      <c r="A95" s="27" t="s">
        <v>18</v>
      </c>
      <c r="B95" s="33">
        <v>1</v>
      </c>
      <c r="C95" s="34">
        <v>2</v>
      </c>
      <c r="D95" s="34">
        <v>3</v>
      </c>
      <c r="E95" s="33">
        <v>4</v>
      </c>
      <c r="F95" s="33">
        <v>5</v>
      </c>
      <c r="G95" s="33">
        <v>6</v>
      </c>
      <c r="H95" s="33">
        <v>7</v>
      </c>
      <c r="I95" s="33">
        <v>8</v>
      </c>
      <c r="J95" s="34">
        <v>9</v>
      </c>
      <c r="K95" s="34">
        <v>10</v>
      </c>
      <c r="L95" s="33">
        <v>11</v>
      </c>
      <c r="M95" s="33">
        <v>12</v>
      </c>
      <c r="N95" s="33">
        <v>13</v>
      </c>
      <c r="O95" s="48">
        <v>14</v>
      </c>
      <c r="P95" s="46" t="s">
        <v>22</v>
      </c>
      <c r="Q95" s="34">
        <v>16</v>
      </c>
      <c r="R95" s="34">
        <v>17</v>
      </c>
      <c r="S95" s="33">
        <v>18</v>
      </c>
      <c r="T95" s="33">
        <v>19</v>
      </c>
      <c r="U95" s="33">
        <v>20</v>
      </c>
      <c r="V95" s="33">
        <v>21</v>
      </c>
      <c r="W95" s="33">
        <v>22</v>
      </c>
      <c r="X95" s="34">
        <v>23</v>
      </c>
      <c r="Y95" s="34">
        <v>24</v>
      </c>
      <c r="Z95" s="33">
        <v>25</v>
      </c>
      <c r="AA95" s="33">
        <v>26</v>
      </c>
      <c r="AB95" s="33">
        <v>27</v>
      </c>
      <c r="AC95" s="33">
        <v>28</v>
      </c>
      <c r="AD95" s="33">
        <v>29</v>
      </c>
      <c r="AE95" s="34">
        <v>30</v>
      </c>
      <c r="AF95" s="34">
        <v>31</v>
      </c>
      <c r="AG95" s="57">
        <f t="shared" si="6"/>
        <v>1</v>
      </c>
      <c r="AH95" s="15"/>
      <c r="AI95" s="9"/>
      <c r="AJ95" s="9"/>
      <c r="AK95" s="9"/>
      <c r="AL95" s="9"/>
      <c r="AM95" s="9"/>
      <c r="AN95" s="9"/>
    </row>
    <row r="96" spans="1:40" s="8" customFormat="1" ht="17.100000000000001" customHeight="1" x14ac:dyDescent="0.3">
      <c r="A96" s="16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8"/>
      <c r="AH96" s="15"/>
      <c r="AI96" s="9"/>
      <c r="AJ96" s="9"/>
      <c r="AK96" s="9"/>
      <c r="AL96" s="9"/>
      <c r="AM96" s="9"/>
      <c r="AN96" s="9"/>
    </row>
    <row r="97" spans="1:40" s="8" customFormat="1" ht="17.100000000000001" customHeight="1" x14ac:dyDescent="0.3">
      <c r="A97" s="22">
        <v>46174</v>
      </c>
      <c r="B97" s="58" t="s">
        <v>1</v>
      </c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15"/>
      <c r="AI97" s="9"/>
      <c r="AJ97" s="9"/>
      <c r="AK97" s="9"/>
      <c r="AL97" s="9"/>
      <c r="AM97" s="9"/>
      <c r="AN97" s="9"/>
    </row>
    <row r="98" spans="1:40" s="8" customFormat="1" ht="17.100000000000001" customHeight="1" x14ac:dyDescent="0.3">
      <c r="A98" s="13" t="s">
        <v>2</v>
      </c>
      <c r="B98" s="32" t="s">
        <v>5</v>
      </c>
      <c r="C98" s="32" t="s">
        <v>6</v>
      </c>
      <c r="D98" s="32" t="s">
        <v>5</v>
      </c>
      <c r="E98" s="32" t="s">
        <v>6</v>
      </c>
      <c r="F98" s="32" t="s">
        <v>3</v>
      </c>
      <c r="G98" s="32" t="s">
        <v>4</v>
      </c>
      <c r="H98" s="32" t="s">
        <v>4</v>
      </c>
      <c r="I98" s="32" t="s">
        <v>5</v>
      </c>
      <c r="J98" s="32" t="s">
        <v>6</v>
      </c>
      <c r="K98" s="32" t="s">
        <v>5</v>
      </c>
      <c r="L98" s="32" t="s">
        <v>6</v>
      </c>
      <c r="M98" s="32" t="s">
        <v>3</v>
      </c>
      <c r="N98" s="32" t="s">
        <v>4</v>
      </c>
      <c r="O98" s="32" t="s">
        <v>4</v>
      </c>
      <c r="P98" s="32" t="s">
        <v>5</v>
      </c>
      <c r="Q98" s="32" t="s">
        <v>6</v>
      </c>
      <c r="R98" s="32" t="s">
        <v>5</v>
      </c>
      <c r="S98" s="32" t="s">
        <v>6</v>
      </c>
      <c r="T98" s="32" t="s">
        <v>3</v>
      </c>
      <c r="U98" s="32" t="s">
        <v>4</v>
      </c>
      <c r="V98" s="32" t="s">
        <v>4</v>
      </c>
      <c r="W98" s="32" t="s">
        <v>5</v>
      </c>
      <c r="X98" s="32" t="s">
        <v>6</v>
      </c>
      <c r="Y98" s="32" t="s">
        <v>5</v>
      </c>
      <c r="Z98" s="32" t="s">
        <v>6</v>
      </c>
      <c r="AA98" s="32" t="s">
        <v>3</v>
      </c>
      <c r="AB98" s="32" t="s">
        <v>4</v>
      </c>
      <c r="AC98" s="32" t="s">
        <v>4</v>
      </c>
      <c r="AD98" s="32" t="s">
        <v>5</v>
      </c>
      <c r="AE98" s="32" t="s">
        <v>6</v>
      </c>
      <c r="AF98" s="60" t="s">
        <v>7</v>
      </c>
      <c r="AG98" s="61"/>
      <c r="AH98" s="15"/>
      <c r="AI98" s="9"/>
      <c r="AJ98" s="9"/>
      <c r="AK98" s="9"/>
      <c r="AL98" s="9"/>
      <c r="AM98" s="9"/>
      <c r="AN98" s="9"/>
    </row>
    <row r="99" spans="1:40" s="8" customFormat="1" ht="17.100000000000001" customHeight="1" x14ac:dyDescent="0.3">
      <c r="A99" s="27" t="s">
        <v>8</v>
      </c>
      <c r="B99" s="33">
        <v>1</v>
      </c>
      <c r="C99" s="33">
        <v>2</v>
      </c>
      <c r="D99" s="38" t="s">
        <v>22</v>
      </c>
      <c r="E99" s="33">
        <v>4</v>
      </c>
      <c r="F99" s="33">
        <v>5</v>
      </c>
      <c r="G99" s="34">
        <v>6</v>
      </c>
      <c r="H99" s="34">
        <v>7</v>
      </c>
      <c r="I99" s="33">
        <v>8</v>
      </c>
      <c r="J99" s="33">
        <v>9</v>
      </c>
      <c r="K99" s="33">
        <v>10</v>
      </c>
      <c r="L99" s="33">
        <v>11</v>
      </c>
      <c r="M99" s="33">
        <v>12</v>
      </c>
      <c r="N99" s="34">
        <v>13</v>
      </c>
      <c r="O99" s="34">
        <v>14</v>
      </c>
      <c r="P99" s="33">
        <v>15</v>
      </c>
      <c r="Q99" s="33">
        <v>16</v>
      </c>
      <c r="R99" s="33">
        <v>17</v>
      </c>
      <c r="S99" s="33">
        <v>18</v>
      </c>
      <c r="T99" s="33">
        <v>19</v>
      </c>
      <c r="U99" s="34">
        <v>20</v>
      </c>
      <c r="V99" s="34">
        <v>21</v>
      </c>
      <c r="W99" s="33">
        <v>22</v>
      </c>
      <c r="X99" s="33">
        <v>23</v>
      </c>
      <c r="Y99" s="33">
        <v>24</v>
      </c>
      <c r="Z99" s="33">
        <v>25</v>
      </c>
      <c r="AA99" s="33">
        <v>26</v>
      </c>
      <c r="AB99" s="34">
        <v>27</v>
      </c>
      <c r="AC99" s="34">
        <v>28</v>
      </c>
      <c r="AD99" s="33">
        <v>29</v>
      </c>
      <c r="AE99" s="33">
        <v>30</v>
      </c>
      <c r="AF99" s="20"/>
      <c r="AG99" s="57">
        <f t="shared" ref="AG99:AG114" si="7">COUNTIF($B99:$AF99,"U")</f>
        <v>1</v>
      </c>
      <c r="AH99" s="15"/>
      <c r="AI99" s="9"/>
      <c r="AJ99" s="9"/>
      <c r="AK99" s="12"/>
      <c r="AL99" s="12"/>
      <c r="AM99" s="9"/>
      <c r="AN99" s="9"/>
    </row>
    <row r="100" spans="1:40" s="8" customFormat="1" ht="17.100000000000001" customHeight="1" x14ac:dyDescent="0.3">
      <c r="A100" s="28" t="s">
        <v>14</v>
      </c>
      <c r="B100" s="33">
        <v>1</v>
      </c>
      <c r="C100" s="33">
        <v>2</v>
      </c>
      <c r="D100" s="33">
        <v>3</v>
      </c>
      <c r="E100" s="33">
        <v>4</v>
      </c>
      <c r="F100" s="33">
        <v>5</v>
      </c>
      <c r="G100" s="34">
        <v>6</v>
      </c>
      <c r="H100" s="34">
        <v>7</v>
      </c>
      <c r="I100" s="33">
        <v>8</v>
      </c>
      <c r="J100" s="33">
        <v>9</v>
      </c>
      <c r="K100" s="33">
        <v>10</v>
      </c>
      <c r="L100" s="33">
        <v>11</v>
      </c>
      <c r="M100" s="33">
        <v>12</v>
      </c>
      <c r="N100" s="34">
        <v>13</v>
      </c>
      <c r="O100" s="34">
        <v>14</v>
      </c>
      <c r="P100" s="33">
        <v>15</v>
      </c>
      <c r="Q100" s="33">
        <v>16</v>
      </c>
      <c r="R100" s="33">
        <v>17</v>
      </c>
      <c r="S100" s="33">
        <v>18</v>
      </c>
      <c r="T100" s="33">
        <v>19</v>
      </c>
      <c r="U100" s="34">
        <v>20</v>
      </c>
      <c r="V100" s="34">
        <v>21</v>
      </c>
      <c r="W100" s="33">
        <v>22</v>
      </c>
      <c r="X100" s="33">
        <v>23</v>
      </c>
      <c r="Y100" s="33">
        <v>24</v>
      </c>
      <c r="Z100" s="33">
        <v>25</v>
      </c>
      <c r="AA100" s="33">
        <v>26</v>
      </c>
      <c r="AB100" s="34">
        <v>27</v>
      </c>
      <c r="AC100" s="34">
        <v>28</v>
      </c>
      <c r="AD100" s="33">
        <v>29</v>
      </c>
      <c r="AE100" s="33">
        <v>30</v>
      </c>
      <c r="AF100" s="20"/>
      <c r="AG100" s="57">
        <f t="shared" si="7"/>
        <v>0</v>
      </c>
      <c r="AH100" s="15"/>
      <c r="AI100" s="9"/>
      <c r="AJ100" s="9"/>
      <c r="AK100" s="9"/>
      <c r="AL100" s="9"/>
      <c r="AM100" s="9"/>
      <c r="AN100" s="9"/>
    </row>
    <row r="101" spans="1:40" ht="17.100000000000001" customHeight="1" x14ac:dyDescent="0.25">
      <c r="A101" s="27" t="s">
        <v>9</v>
      </c>
      <c r="B101" s="33">
        <v>1</v>
      </c>
      <c r="C101" s="33">
        <v>2</v>
      </c>
      <c r="D101" s="33">
        <v>3</v>
      </c>
      <c r="E101" s="33">
        <v>4</v>
      </c>
      <c r="F101" s="33">
        <v>5</v>
      </c>
      <c r="G101" s="34">
        <v>6</v>
      </c>
      <c r="H101" s="34">
        <v>7</v>
      </c>
      <c r="I101" s="33">
        <v>8</v>
      </c>
      <c r="J101" s="33">
        <v>9</v>
      </c>
      <c r="K101" s="33">
        <v>10</v>
      </c>
      <c r="L101" s="33">
        <v>11</v>
      </c>
      <c r="M101" s="33">
        <v>12</v>
      </c>
      <c r="N101" s="34">
        <v>13</v>
      </c>
      <c r="O101" s="34">
        <v>14</v>
      </c>
      <c r="P101" s="40" t="s">
        <v>22</v>
      </c>
      <c r="Q101" s="40" t="s">
        <v>22</v>
      </c>
      <c r="R101" s="40" t="s">
        <v>22</v>
      </c>
      <c r="S101" s="40" t="s">
        <v>22</v>
      </c>
      <c r="T101" s="40" t="s">
        <v>22</v>
      </c>
      <c r="U101" s="40">
        <v>20</v>
      </c>
      <c r="V101" s="40">
        <v>21</v>
      </c>
      <c r="W101" s="33">
        <v>22</v>
      </c>
      <c r="X101" s="33">
        <v>23</v>
      </c>
      <c r="Y101" s="33">
        <v>24</v>
      </c>
      <c r="Z101" s="33">
        <v>25</v>
      </c>
      <c r="AA101" s="33">
        <v>26</v>
      </c>
      <c r="AB101" s="34">
        <v>27</v>
      </c>
      <c r="AC101" s="34">
        <v>28</v>
      </c>
      <c r="AD101" s="33">
        <v>29</v>
      </c>
      <c r="AE101" s="33">
        <v>30</v>
      </c>
      <c r="AF101" s="20"/>
      <c r="AG101" s="57">
        <f t="shared" si="7"/>
        <v>5</v>
      </c>
      <c r="AH101" s="15"/>
      <c r="AI101" s="9"/>
      <c r="AJ101" s="9"/>
      <c r="AK101" s="9"/>
      <c r="AL101" s="9"/>
      <c r="AM101" s="9"/>
      <c r="AN101" s="9"/>
    </row>
    <row r="102" spans="1:40" s="7" customFormat="1" ht="20.100000000000001" customHeight="1" x14ac:dyDescent="0.25">
      <c r="A102" s="28" t="s">
        <v>10</v>
      </c>
      <c r="B102" s="33">
        <v>1</v>
      </c>
      <c r="C102" s="33">
        <v>2</v>
      </c>
      <c r="D102" s="33">
        <v>3</v>
      </c>
      <c r="E102" s="33">
        <v>4</v>
      </c>
      <c r="F102" s="33">
        <v>5</v>
      </c>
      <c r="G102" s="34">
        <v>6</v>
      </c>
      <c r="H102" s="34">
        <v>7</v>
      </c>
      <c r="I102" s="33">
        <v>8</v>
      </c>
      <c r="J102" s="33">
        <v>9</v>
      </c>
      <c r="K102" s="33">
        <v>10</v>
      </c>
      <c r="L102" s="33">
        <v>11</v>
      </c>
      <c r="M102" s="33">
        <v>12</v>
      </c>
      <c r="N102" s="34">
        <v>13</v>
      </c>
      <c r="O102" s="34">
        <v>14</v>
      </c>
      <c r="P102" s="33">
        <v>15</v>
      </c>
      <c r="Q102" s="33">
        <v>16</v>
      </c>
      <c r="R102" s="33">
        <v>17</v>
      </c>
      <c r="S102" s="33">
        <v>18</v>
      </c>
      <c r="T102" s="33">
        <v>19</v>
      </c>
      <c r="U102" s="34">
        <v>20</v>
      </c>
      <c r="V102" s="34">
        <v>21</v>
      </c>
      <c r="W102" s="33">
        <v>22</v>
      </c>
      <c r="X102" s="33">
        <v>23</v>
      </c>
      <c r="Y102" s="33">
        <v>24</v>
      </c>
      <c r="Z102" s="33">
        <v>25</v>
      </c>
      <c r="AA102" s="33">
        <v>26</v>
      </c>
      <c r="AB102" s="34">
        <v>27</v>
      </c>
      <c r="AC102" s="34">
        <v>28</v>
      </c>
      <c r="AD102" s="33">
        <v>29</v>
      </c>
      <c r="AE102" s="33">
        <v>30</v>
      </c>
      <c r="AF102" s="20"/>
      <c r="AG102" s="57">
        <f t="shared" si="7"/>
        <v>0</v>
      </c>
      <c r="AH102" s="11"/>
      <c r="AI102" s="12"/>
      <c r="AJ102" s="12"/>
      <c r="AK102" s="9"/>
      <c r="AL102" s="9"/>
      <c r="AM102" s="12"/>
      <c r="AN102" s="12"/>
    </row>
    <row r="103" spans="1:40" s="8" customFormat="1" ht="17.100000000000001" customHeight="1" x14ac:dyDescent="0.3">
      <c r="A103" s="27" t="s">
        <v>15</v>
      </c>
      <c r="B103" s="40" t="s">
        <v>22</v>
      </c>
      <c r="C103" s="40" t="s">
        <v>22</v>
      </c>
      <c r="D103" s="33">
        <v>3</v>
      </c>
      <c r="E103" s="33">
        <v>4</v>
      </c>
      <c r="F103" s="33">
        <v>5</v>
      </c>
      <c r="G103" s="34">
        <v>6</v>
      </c>
      <c r="H103" s="34">
        <v>7</v>
      </c>
      <c r="I103" s="33">
        <v>8</v>
      </c>
      <c r="J103" s="33">
        <v>9</v>
      </c>
      <c r="K103" s="33">
        <v>10</v>
      </c>
      <c r="L103" s="33">
        <v>11</v>
      </c>
      <c r="M103" s="33">
        <v>12</v>
      </c>
      <c r="N103" s="34">
        <v>13</v>
      </c>
      <c r="O103" s="34">
        <v>14</v>
      </c>
      <c r="P103" s="33">
        <v>15</v>
      </c>
      <c r="Q103" s="33">
        <v>16</v>
      </c>
      <c r="R103" s="33">
        <v>17</v>
      </c>
      <c r="S103" s="33">
        <v>18</v>
      </c>
      <c r="T103" s="33">
        <v>19</v>
      </c>
      <c r="U103" s="34">
        <v>20</v>
      </c>
      <c r="V103" s="34">
        <v>21</v>
      </c>
      <c r="W103" s="40" t="s">
        <v>22</v>
      </c>
      <c r="X103" s="40" t="s">
        <v>22</v>
      </c>
      <c r="Y103" s="40" t="s">
        <v>22</v>
      </c>
      <c r="Z103" s="40" t="s">
        <v>22</v>
      </c>
      <c r="AA103" s="40" t="s">
        <v>22</v>
      </c>
      <c r="AB103" s="34">
        <v>27</v>
      </c>
      <c r="AC103" s="34">
        <v>28</v>
      </c>
      <c r="AD103" s="33">
        <v>29</v>
      </c>
      <c r="AE103" s="33">
        <v>30</v>
      </c>
      <c r="AF103" s="20"/>
      <c r="AG103" s="57">
        <f>COUNTIF($B103:$AF103,"U")</f>
        <v>7</v>
      </c>
      <c r="AH103" s="15"/>
      <c r="AI103" s="9"/>
      <c r="AJ103" s="9"/>
      <c r="AK103" s="9"/>
      <c r="AL103" s="9"/>
      <c r="AM103" s="9"/>
      <c r="AN103" s="9"/>
    </row>
    <row r="104" spans="1:40" s="8" customFormat="1" ht="17.100000000000001" customHeight="1" x14ac:dyDescent="0.3">
      <c r="A104" s="28" t="s">
        <v>29</v>
      </c>
      <c r="B104" s="33">
        <v>1</v>
      </c>
      <c r="C104" s="33">
        <v>2</v>
      </c>
      <c r="D104" s="33">
        <v>3</v>
      </c>
      <c r="E104" s="33">
        <v>4</v>
      </c>
      <c r="F104" s="33">
        <v>5</v>
      </c>
      <c r="G104" s="34">
        <v>6</v>
      </c>
      <c r="H104" s="34">
        <v>7</v>
      </c>
      <c r="I104" s="33">
        <v>8</v>
      </c>
      <c r="J104" s="33">
        <v>9</v>
      </c>
      <c r="K104" s="33">
        <v>10</v>
      </c>
      <c r="L104" s="33">
        <v>11</v>
      </c>
      <c r="M104" s="33">
        <v>12</v>
      </c>
      <c r="N104" s="34">
        <v>13</v>
      </c>
      <c r="O104" s="34">
        <v>14</v>
      </c>
      <c r="P104" s="33">
        <v>15</v>
      </c>
      <c r="Q104" s="33">
        <v>16</v>
      </c>
      <c r="R104" s="33">
        <v>17</v>
      </c>
      <c r="S104" s="33">
        <v>18</v>
      </c>
      <c r="T104" s="33">
        <v>19</v>
      </c>
      <c r="U104" s="34">
        <v>20</v>
      </c>
      <c r="V104" s="34">
        <v>21</v>
      </c>
      <c r="W104" s="33">
        <v>22</v>
      </c>
      <c r="X104" s="33">
        <v>23</v>
      </c>
      <c r="Y104" s="33">
        <v>24</v>
      </c>
      <c r="Z104" s="33">
        <v>25</v>
      </c>
      <c r="AA104" s="33">
        <v>26</v>
      </c>
      <c r="AB104" s="34">
        <v>27</v>
      </c>
      <c r="AC104" s="34">
        <v>28</v>
      </c>
      <c r="AD104" s="33">
        <v>29</v>
      </c>
      <c r="AE104" s="33">
        <v>30</v>
      </c>
      <c r="AF104" s="20"/>
      <c r="AG104" s="57">
        <f t="shared" si="7"/>
        <v>0</v>
      </c>
      <c r="AH104" s="15"/>
      <c r="AI104" s="9"/>
      <c r="AJ104" s="9"/>
      <c r="AK104" s="9"/>
      <c r="AL104" s="9"/>
      <c r="AM104" s="9"/>
      <c r="AN104" s="9"/>
    </row>
    <row r="105" spans="1:40" s="8" customFormat="1" ht="17.100000000000001" customHeight="1" x14ac:dyDescent="0.3">
      <c r="A105" s="29" t="s">
        <v>21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20"/>
      <c r="AG105" s="57"/>
      <c r="AH105" s="15"/>
      <c r="AI105" s="9"/>
      <c r="AJ105" s="9"/>
      <c r="AK105" s="9"/>
      <c r="AL105" s="9"/>
      <c r="AM105" s="9"/>
      <c r="AN105" s="9"/>
    </row>
    <row r="106" spans="1:40" s="8" customFormat="1" ht="17.100000000000001" customHeight="1" x14ac:dyDescent="0.3">
      <c r="A106" s="30" t="s">
        <v>28</v>
      </c>
      <c r="B106" s="33">
        <v>1</v>
      </c>
      <c r="C106" s="33">
        <v>2</v>
      </c>
      <c r="D106" s="33">
        <v>3</v>
      </c>
      <c r="E106" s="33">
        <v>4</v>
      </c>
      <c r="F106" s="33">
        <v>5</v>
      </c>
      <c r="G106" s="34">
        <v>6</v>
      </c>
      <c r="H106" s="34">
        <v>7</v>
      </c>
      <c r="I106" s="33">
        <v>8</v>
      </c>
      <c r="J106" s="33">
        <v>9</v>
      </c>
      <c r="K106" s="33">
        <v>10</v>
      </c>
      <c r="L106" s="33">
        <v>11</v>
      </c>
      <c r="M106" s="33">
        <v>12</v>
      </c>
      <c r="N106" s="34">
        <v>13</v>
      </c>
      <c r="O106" s="34">
        <v>14</v>
      </c>
      <c r="P106" s="33">
        <v>15</v>
      </c>
      <c r="Q106" s="33">
        <v>16</v>
      </c>
      <c r="R106" s="33">
        <v>17</v>
      </c>
      <c r="S106" s="33">
        <v>18</v>
      </c>
      <c r="T106" s="33">
        <v>19</v>
      </c>
      <c r="U106" s="34">
        <v>20</v>
      </c>
      <c r="V106" s="34">
        <v>21</v>
      </c>
      <c r="W106" s="33">
        <v>22</v>
      </c>
      <c r="X106" s="33">
        <v>23</v>
      </c>
      <c r="Y106" s="33">
        <v>24</v>
      </c>
      <c r="Z106" s="33">
        <v>25</v>
      </c>
      <c r="AA106" s="33">
        <v>26</v>
      </c>
      <c r="AB106" s="34">
        <v>27</v>
      </c>
      <c r="AC106" s="34">
        <v>28</v>
      </c>
      <c r="AD106" s="33">
        <v>29</v>
      </c>
      <c r="AE106" s="33">
        <v>30</v>
      </c>
      <c r="AF106" s="20"/>
      <c r="AG106" s="57">
        <f t="shared" si="7"/>
        <v>0</v>
      </c>
      <c r="AH106" s="15"/>
      <c r="AI106" s="9"/>
      <c r="AJ106" s="9"/>
      <c r="AK106" s="9"/>
      <c r="AL106" s="9"/>
      <c r="AM106" s="9"/>
      <c r="AN106" s="9"/>
    </row>
    <row r="107" spans="1:40" s="8" customFormat="1" ht="17.100000000000001" customHeight="1" x14ac:dyDescent="0.3">
      <c r="A107" s="27" t="s">
        <v>17</v>
      </c>
      <c r="B107" s="33">
        <v>1</v>
      </c>
      <c r="C107" s="33">
        <v>2</v>
      </c>
      <c r="D107" s="33">
        <v>3</v>
      </c>
      <c r="E107" s="33">
        <v>4</v>
      </c>
      <c r="F107" s="33">
        <v>5</v>
      </c>
      <c r="G107" s="34">
        <v>6</v>
      </c>
      <c r="H107" s="34">
        <v>7</v>
      </c>
      <c r="I107" s="33">
        <v>8</v>
      </c>
      <c r="J107" s="33">
        <v>9</v>
      </c>
      <c r="K107" s="33">
        <v>10</v>
      </c>
      <c r="L107" s="33">
        <v>11</v>
      </c>
      <c r="M107" s="33">
        <v>12</v>
      </c>
      <c r="N107" s="34">
        <v>13</v>
      </c>
      <c r="O107" s="34">
        <v>14</v>
      </c>
      <c r="P107" s="33">
        <v>15</v>
      </c>
      <c r="Q107" s="33">
        <v>16</v>
      </c>
      <c r="R107" s="33">
        <v>17</v>
      </c>
      <c r="S107" s="33">
        <v>18</v>
      </c>
      <c r="T107" s="33">
        <v>19</v>
      </c>
      <c r="U107" s="34">
        <v>20</v>
      </c>
      <c r="V107" s="34">
        <v>21</v>
      </c>
      <c r="W107" s="33">
        <v>22</v>
      </c>
      <c r="X107" s="33">
        <v>23</v>
      </c>
      <c r="Y107" s="33">
        <v>24</v>
      </c>
      <c r="Z107" s="33">
        <v>25</v>
      </c>
      <c r="AA107" s="46" t="s">
        <v>22</v>
      </c>
      <c r="AB107" s="34">
        <v>27</v>
      </c>
      <c r="AC107" s="34">
        <v>28</v>
      </c>
      <c r="AD107" s="33">
        <v>29</v>
      </c>
      <c r="AE107" s="33">
        <v>30</v>
      </c>
      <c r="AF107" s="20"/>
      <c r="AG107" s="57">
        <f t="shared" si="7"/>
        <v>1</v>
      </c>
      <c r="AH107" s="15"/>
      <c r="AI107" s="9"/>
      <c r="AJ107" s="9"/>
      <c r="AK107" s="9"/>
      <c r="AL107" s="9"/>
      <c r="AM107" s="9"/>
      <c r="AN107" s="9"/>
    </row>
    <row r="108" spans="1:40" s="8" customFormat="1" ht="17.100000000000001" customHeight="1" x14ac:dyDescent="0.3">
      <c r="A108" s="30" t="s">
        <v>16</v>
      </c>
      <c r="B108" s="33">
        <v>1</v>
      </c>
      <c r="C108" s="33">
        <v>2</v>
      </c>
      <c r="D108" s="33">
        <v>3</v>
      </c>
      <c r="E108" s="33">
        <v>4</v>
      </c>
      <c r="F108" s="33">
        <v>5</v>
      </c>
      <c r="G108" s="34">
        <v>6</v>
      </c>
      <c r="H108" s="34">
        <v>7</v>
      </c>
      <c r="I108" s="33">
        <v>8</v>
      </c>
      <c r="J108" s="33">
        <v>9</v>
      </c>
      <c r="K108" s="33">
        <v>10</v>
      </c>
      <c r="L108" s="33">
        <v>11</v>
      </c>
      <c r="M108" s="33">
        <v>12</v>
      </c>
      <c r="N108" s="34">
        <v>13</v>
      </c>
      <c r="O108" s="34">
        <v>14</v>
      </c>
      <c r="P108" s="33">
        <v>15</v>
      </c>
      <c r="Q108" s="33">
        <v>16</v>
      </c>
      <c r="R108" s="33">
        <v>17</v>
      </c>
      <c r="S108" s="33">
        <v>18</v>
      </c>
      <c r="T108" s="33">
        <v>19</v>
      </c>
      <c r="U108" s="34">
        <v>20</v>
      </c>
      <c r="V108" s="34">
        <v>21</v>
      </c>
      <c r="W108" s="33">
        <v>22</v>
      </c>
      <c r="X108" s="33">
        <v>23</v>
      </c>
      <c r="Y108" s="33">
        <v>24</v>
      </c>
      <c r="Z108" s="33">
        <v>25</v>
      </c>
      <c r="AA108" s="33">
        <v>26</v>
      </c>
      <c r="AB108" s="34">
        <v>27</v>
      </c>
      <c r="AC108" s="34">
        <v>28</v>
      </c>
      <c r="AD108" s="33">
        <v>29</v>
      </c>
      <c r="AE108" s="33">
        <v>30</v>
      </c>
      <c r="AF108" s="20"/>
      <c r="AG108" s="57">
        <f t="shared" si="7"/>
        <v>0</v>
      </c>
      <c r="AH108" s="15"/>
      <c r="AI108" s="9"/>
      <c r="AJ108" s="9"/>
      <c r="AK108" s="9"/>
      <c r="AL108" s="9"/>
      <c r="AM108" s="9"/>
      <c r="AN108" s="9"/>
    </row>
    <row r="109" spans="1:40" s="8" customFormat="1" ht="17.100000000000001" customHeight="1" x14ac:dyDescent="0.3">
      <c r="A109" s="29" t="s">
        <v>20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20"/>
      <c r="AG109" s="57"/>
      <c r="AH109" s="15"/>
      <c r="AI109" s="9"/>
      <c r="AJ109" s="9"/>
      <c r="AK109" s="9"/>
      <c r="AL109" s="9"/>
      <c r="AM109" s="9"/>
      <c r="AN109" s="9"/>
    </row>
    <row r="110" spans="1:40" s="8" customFormat="1" ht="17.100000000000001" customHeight="1" x14ac:dyDescent="0.3">
      <c r="A110" s="27" t="s">
        <v>11</v>
      </c>
      <c r="B110" s="33">
        <v>1</v>
      </c>
      <c r="C110" s="33">
        <v>2</v>
      </c>
      <c r="D110" s="33">
        <v>3</v>
      </c>
      <c r="E110" s="33">
        <v>4</v>
      </c>
      <c r="F110" s="33">
        <v>5</v>
      </c>
      <c r="G110" s="34">
        <v>6</v>
      </c>
      <c r="H110" s="34">
        <v>7</v>
      </c>
      <c r="I110" s="33">
        <v>8</v>
      </c>
      <c r="J110" s="33">
        <v>9</v>
      </c>
      <c r="K110" s="33">
        <v>10</v>
      </c>
      <c r="L110" s="33">
        <v>11</v>
      </c>
      <c r="M110" s="38" t="s">
        <v>22</v>
      </c>
      <c r="N110" s="38">
        <v>13</v>
      </c>
      <c r="O110" s="38">
        <v>14</v>
      </c>
      <c r="P110" s="38" t="s">
        <v>22</v>
      </c>
      <c r="Q110" s="38" t="s">
        <v>22</v>
      </c>
      <c r="R110" s="38" t="s">
        <v>22</v>
      </c>
      <c r="S110" s="38" t="s">
        <v>22</v>
      </c>
      <c r="T110" s="38" t="s">
        <v>22</v>
      </c>
      <c r="U110" s="38">
        <v>20</v>
      </c>
      <c r="V110" s="38">
        <v>21</v>
      </c>
      <c r="W110" s="38" t="s">
        <v>22</v>
      </c>
      <c r="X110" s="38" t="s">
        <v>22</v>
      </c>
      <c r="Y110" s="38" t="s">
        <v>22</v>
      </c>
      <c r="Z110" s="38" t="s">
        <v>22</v>
      </c>
      <c r="AA110" s="38" t="s">
        <v>22</v>
      </c>
      <c r="AB110" s="38">
        <v>27</v>
      </c>
      <c r="AC110" s="38">
        <v>28</v>
      </c>
      <c r="AD110" s="38" t="s">
        <v>22</v>
      </c>
      <c r="AE110" s="38" t="s">
        <v>22</v>
      </c>
      <c r="AF110" s="20"/>
      <c r="AG110" s="57">
        <f t="shared" si="7"/>
        <v>13</v>
      </c>
      <c r="AH110" s="15"/>
      <c r="AI110" s="9"/>
      <c r="AJ110" s="9"/>
      <c r="AK110" s="9"/>
      <c r="AL110" s="9"/>
      <c r="AM110" s="9"/>
      <c r="AN110" s="9"/>
    </row>
    <row r="111" spans="1:40" s="8" customFormat="1" ht="17.100000000000001" customHeight="1" x14ac:dyDescent="0.3">
      <c r="A111" s="28" t="s">
        <v>12</v>
      </c>
      <c r="B111" s="33">
        <v>1</v>
      </c>
      <c r="C111" s="33">
        <v>2</v>
      </c>
      <c r="D111" s="33">
        <v>3</v>
      </c>
      <c r="E111" s="41">
        <v>4</v>
      </c>
      <c r="F111" s="46">
        <v>5</v>
      </c>
      <c r="G111" s="34">
        <v>6</v>
      </c>
      <c r="H111" s="34">
        <v>7</v>
      </c>
      <c r="I111" s="46" t="s">
        <v>22</v>
      </c>
      <c r="J111" s="33">
        <v>9</v>
      </c>
      <c r="K111" s="33">
        <v>10</v>
      </c>
      <c r="L111" s="33">
        <v>11</v>
      </c>
      <c r="M111" s="33">
        <v>12</v>
      </c>
      <c r="N111" s="34">
        <v>13</v>
      </c>
      <c r="O111" s="34">
        <v>14</v>
      </c>
      <c r="P111" s="33">
        <v>15</v>
      </c>
      <c r="Q111" s="33">
        <v>16</v>
      </c>
      <c r="R111" s="33">
        <v>17</v>
      </c>
      <c r="S111" s="33">
        <v>18</v>
      </c>
      <c r="T111" s="46" t="s">
        <v>22</v>
      </c>
      <c r="U111" s="34">
        <v>20</v>
      </c>
      <c r="V111" s="34">
        <v>21</v>
      </c>
      <c r="W111" s="33">
        <v>22</v>
      </c>
      <c r="X111" s="33">
        <v>23</v>
      </c>
      <c r="Y111" s="33">
        <v>24</v>
      </c>
      <c r="Z111" s="33">
        <v>25</v>
      </c>
      <c r="AA111" s="33">
        <v>26</v>
      </c>
      <c r="AB111" s="34">
        <v>27</v>
      </c>
      <c r="AC111" s="34">
        <v>28</v>
      </c>
      <c r="AD111" s="33">
        <v>29</v>
      </c>
      <c r="AE111" s="33">
        <v>30</v>
      </c>
      <c r="AF111" s="20"/>
      <c r="AG111" s="57">
        <f t="shared" si="7"/>
        <v>2</v>
      </c>
      <c r="AH111" s="15"/>
      <c r="AI111" s="9"/>
      <c r="AJ111" s="9"/>
      <c r="AK111" s="9"/>
      <c r="AL111" s="9"/>
      <c r="AM111" s="9"/>
      <c r="AN111" s="9"/>
    </row>
    <row r="112" spans="1:40" s="8" customFormat="1" ht="17.100000000000001" customHeight="1" x14ac:dyDescent="0.3">
      <c r="A112" s="27" t="s">
        <v>13</v>
      </c>
      <c r="B112" s="33">
        <v>1</v>
      </c>
      <c r="C112" s="33">
        <v>2</v>
      </c>
      <c r="D112" s="33">
        <v>3</v>
      </c>
      <c r="E112" s="33">
        <v>4</v>
      </c>
      <c r="F112" s="33">
        <v>5</v>
      </c>
      <c r="G112" s="34">
        <v>6</v>
      </c>
      <c r="H112" s="34">
        <v>7</v>
      </c>
      <c r="I112" s="33">
        <v>8</v>
      </c>
      <c r="J112" s="33">
        <v>9</v>
      </c>
      <c r="K112" s="33">
        <v>10</v>
      </c>
      <c r="L112" s="33">
        <v>11</v>
      </c>
      <c r="M112" s="40" t="s">
        <v>22</v>
      </c>
      <c r="N112" s="40" t="s">
        <v>22</v>
      </c>
      <c r="O112" s="40" t="s">
        <v>22</v>
      </c>
      <c r="P112" s="40" t="s">
        <v>22</v>
      </c>
      <c r="Q112" s="40" t="s">
        <v>22</v>
      </c>
      <c r="R112" s="40" t="s">
        <v>22</v>
      </c>
      <c r="S112" s="40" t="s">
        <v>22</v>
      </c>
      <c r="T112" s="40" t="s">
        <v>22</v>
      </c>
      <c r="U112" s="40">
        <v>20</v>
      </c>
      <c r="V112" s="40">
        <v>21</v>
      </c>
      <c r="W112" s="40" t="s">
        <v>22</v>
      </c>
      <c r="X112" s="40" t="s">
        <v>22</v>
      </c>
      <c r="Y112" s="40" t="s">
        <v>22</v>
      </c>
      <c r="Z112" s="40" t="s">
        <v>22</v>
      </c>
      <c r="AA112" s="40" t="s">
        <v>22</v>
      </c>
      <c r="AB112" s="40">
        <v>27</v>
      </c>
      <c r="AC112" s="40">
        <v>28</v>
      </c>
      <c r="AD112" s="40" t="s">
        <v>22</v>
      </c>
      <c r="AE112" s="40" t="s">
        <v>22</v>
      </c>
      <c r="AF112" s="20"/>
      <c r="AG112" s="57">
        <f t="shared" si="7"/>
        <v>15</v>
      </c>
      <c r="AH112" s="15"/>
      <c r="AI112" s="9"/>
      <c r="AJ112" s="9"/>
      <c r="AK112" s="9"/>
      <c r="AL112" s="9"/>
      <c r="AM112" s="9"/>
      <c r="AN112" s="9"/>
    </row>
    <row r="113" spans="1:40" s="8" customFormat="1" ht="17.100000000000001" customHeight="1" x14ac:dyDescent="0.3">
      <c r="A113" s="29" t="s">
        <v>19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20"/>
      <c r="AG113" s="57"/>
      <c r="AH113" s="15"/>
      <c r="AI113" s="9"/>
      <c r="AJ113" s="9"/>
      <c r="AK113" s="9"/>
      <c r="AL113" s="9"/>
      <c r="AM113" s="9"/>
      <c r="AN113" s="9"/>
    </row>
    <row r="114" spans="1:40" s="8" customFormat="1" ht="17.100000000000001" customHeight="1" x14ac:dyDescent="0.3">
      <c r="A114" s="27" t="s">
        <v>18</v>
      </c>
      <c r="B114" s="33">
        <v>1</v>
      </c>
      <c r="C114" s="33">
        <v>2</v>
      </c>
      <c r="D114" s="33">
        <v>3</v>
      </c>
      <c r="E114" s="33">
        <v>4</v>
      </c>
      <c r="F114" s="33">
        <v>5</v>
      </c>
      <c r="G114" s="34">
        <v>6</v>
      </c>
      <c r="H114" s="34">
        <v>7</v>
      </c>
      <c r="I114" s="33">
        <v>8</v>
      </c>
      <c r="J114" s="33">
        <v>9</v>
      </c>
      <c r="K114" s="33">
        <v>10</v>
      </c>
      <c r="L114" s="33">
        <v>11</v>
      </c>
      <c r="M114" s="33">
        <v>12</v>
      </c>
      <c r="N114" s="34">
        <v>13</v>
      </c>
      <c r="O114" s="34">
        <v>14</v>
      </c>
      <c r="P114" s="33">
        <v>15</v>
      </c>
      <c r="Q114" s="33">
        <v>16</v>
      </c>
      <c r="R114" s="33">
        <v>17</v>
      </c>
      <c r="S114" s="33">
        <v>18</v>
      </c>
      <c r="T114" s="33">
        <v>19</v>
      </c>
      <c r="U114" s="34">
        <v>20</v>
      </c>
      <c r="V114" s="34">
        <v>21</v>
      </c>
      <c r="W114" s="33">
        <v>22</v>
      </c>
      <c r="X114" s="33">
        <v>23</v>
      </c>
      <c r="Y114" s="33">
        <v>24</v>
      </c>
      <c r="Z114" s="33">
        <v>25</v>
      </c>
      <c r="AA114" s="33">
        <v>26</v>
      </c>
      <c r="AB114" s="34">
        <v>27</v>
      </c>
      <c r="AC114" s="34">
        <v>28</v>
      </c>
      <c r="AD114" s="33">
        <v>29</v>
      </c>
      <c r="AE114" s="33">
        <v>30</v>
      </c>
      <c r="AF114" s="20"/>
      <c r="AG114" s="57">
        <f t="shared" si="7"/>
        <v>0</v>
      </c>
      <c r="AH114" s="15"/>
      <c r="AI114" s="9"/>
      <c r="AJ114" s="9"/>
      <c r="AK114" s="9"/>
      <c r="AL114" s="9"/>
      <c r="AM114" s="9"/>
      <c r="AN114" s="9"/>
    </row>
    <row r="115" spans="1:40" s="8" customFormat="1" ht="17.100000000000001" customHeight="1" x14ac:dyDescent="0.3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8"/>
      <c r="AH115" s="15"/>
      <c r="AI115" s="9"/>
      <c r="AJ115" s="9"/>
      <c r="AK115" s="9"/>
      <c r="AL115" s="9"/>
      <c r="AM115" s="9"/>
      <c r="AN115" s="9"/>
    </row>
    <row r="116" spans="1:40" s="8" customFormat="1" ht="17.100000000000001" customHeight="1" x14ac:dyDescent="0.3">
      <c r="A116" s="23">
        <v>46204</v>
      </c>
      <c r="B116" s="62" t="s">
        <v>1</v>
      </c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15"/>
      <c r="AI116" s="9"/>
      <c r="AJ116" s="9"/>
      <c r="AK116" s="9"/>
      <c r="AL116" s="9"/>
      <c r="AM116" s="9"/>
      <c r="AN116" s="9"/>
    </row>
    <row r="117" spans="1:40" s="8" customFormat="1" ht="17.100000000000001" customHeight="1" x14ac:dyDescent="0.3">
      <c r="A117" s="13" t="s">
        <v>2</v>
      </c>
      <c r="B117" s="32" t="s">
        <v>5</v>
      </c>
      <c r="C117" s="32" t="s">
        <v>6</v>
      </c>
      <c r="D117" s="32" t="s">
        <v>3</v>
      </c>
      <c r="E117" s="32" t="s">
        <v>4</v>
      </c>
      <c r="F117" s="32" t="s">
        <v>4</v>
      </c>
      <c r="G117" s="32" t="s">
        <v>5</v>
      </c>
      <c r="H117" s="32" t="s">
        <v>6</v>
      </c>
      <c r="I117" s="32" t="s">
        <v>5</v>
      </c>
      <c r="J117" s="32" t="s">
        <v>6</v>
      </c>
      <c r="K117" s="32" t="s">
        <v>3</v>
      </c>
      <c r="L117" s="32" t="s">
        <v>4</v>
      </c>
      <c r="M117" s="32" t="s">
        <v>4</v>
      </c>
      <c r="N117" s="32" t="s">
        <v>5</v>
      </c>
      <c r="O117" s="32" t="s">
        <v>6</v>
      </c>
      <c r="P117" s="32" t="s">
        <v>5</v>
      </c>
      <c r="Q117" s="32" t="s">
        <v>6</v>
      </c>
      <c r="R117" s="32" t="s">
        <v>3</v>
      </c>
      <c r="S117" s="32" t="s">
        <v>4</v>
      </c>
      <c r="T117" s="32" t="s">
        <v>4</v>
      </c>
      <c r="U117" s="32" t="s">
        <v>5</v>
      </c>
      <c r="V117" s="32" t="s">
        <v>6</v>
      </c>
      <c r="W117" s="32" t="s">
        <v>5</v>
      </c>
      <c r="X117" s="32" t="s">
        <v>6</v>
      </c>
      <c r="Y117" s="32" t="s">
        <v>3</v>
      </c>
      <c r="Z117" s="32" t="s">
        <v>4</v>
      </c>
      <c r="AA117" s="32" t="s">
        <v>4</v>
      </c>
      <c r="AB117" s="32" t="s">
        <v>5</v>
      </c>
      <c r="AC117" s="32" t="s">
        <v>6</v>
      </c>
      <c r="AD117" s="32" t="s">
        <v>5</v>
      </c>
      <c r="AE117" s="32" t="s">
        <v>6</v>
      </c>
      <c r="AF117" s="32" t="s">
        <v>3</v>
      </c>
      <c r="AG117" s="21" t="s">
        <v>7</v>
      </c>
      <c r="AH117" s="15"/>
      <c r="AI117" s="9"/>
      <c r="AJ117" s="9"/>
      <c r="AK117" s="9"/>
      <c r="AL117" s="9"/>
      <c r="AM117" s="9"/>
      <c r="AN117" s="9"/>
    </row>
    <row r="118" spans="1:40" s="8" customFormat="1" ht="17.100000000000001" customHeight="1" x14ac:dyDescent="0.3">
      <c r="A118" s="27" t="s">
        <v>8</v>
      </c>
      <c r="B118" s="33">
        <v>1</v>
      </c>
      <c r="C118" s="33">
        <v>2</v>
      </c>
      <c r="D118" s="33">
        <v>3</v>
      </c>
      <c r="E118" s="34">
        <v>4</v>
      </c>
      <c r="F118" s="34">
        <v>5</v>
      </c>
      <c r="G118" s="33">
        <v>6</v>
      </c>
      <c r="H118" s="33">
        <v>7</v>
      </c>
      <c r="I118" s="33">
        <v>8</v>
      </c>
      <c r="J118" s="33">
        <v>9</v>
      </c>
      <c r="K118" s="33">
        <v>10</v>
      </c>
      <c r="L118" s="34">
        <v>11</v>
      </c>
      <c r="M118" s="34">
        <v>12</v>
      </c>
      <c r="N118" s="33">
        <v>13</v>
      </c>
      <c r="O118" s="33">
        <v>14</v>
      </c>
      <c r="P118" s="33">
        <v>15</v>
      </c>
      <c r="Q118" s="33">
        <v>16</v>
      </c>
      <c r="R118" s="33">
        <v>17</v>
      </c>
      <c r="S118" s="34">
        <v>18</v>
      </c>
      <c r="T118" s="34">
        <v>19</v>
      </c>
      <c r="U118" s="33">
        <v>20</v>
      </c>
      <c r="V118" s="33">
        <v>21</v>
      </c>
      <c r="W118" s="33">
        <v>22</v>
      </c>
      <c r="X118" s="33">
        <v>23</v>
      </c>
      <c r="Y118" s="33">
        <v>24</v>
      </c>
      <c r="Z118" s="34">
        <v>25</v>
      </c>
      <c r="AA118" s="34">
        <v>26</v>
      </c>
      <c r="AB118" s="33">
        <v>27</v>
      </c>
      <c r="AC118" s="33">
        <v>28</v>
      </c>
      <c r="AD118" s="33">
        <v>29</v>
      </c>
      <c r="AE118" s="33">
        <v>30</v>
      </c>
      <c r="AF118" s="33">
        <v>31</v>
      </c>
      <c r="AG118" s="57">
        <f t="shared" ref="AG118:AG133" si="8">COUNTIF($B118:$AF118,"U")</f>
        <v>0</v>
      </c>
      <c r="AH118" s="15"/>
      <c r="AI118" s="9"/>
      <c r="AJ118" s="9"/>
      <c r="AK118" s="9"/>
      <c r="AL118" s="9"/>
      <c r="AM118" s="9"/>
      <c r="AN118" s="9"/>
    </row>
    <row r="119" spans="1:40" s="8" customFormat="1" ht="17.100000000000001" customHeight="1" x14ac:dyDescent="0.3">
      <c r="A119" s="28" t="s">
        <v>14</v>
      </c>
      <c r="B119" s="33">
        <v>1</v>
      </c>
      <c r="C119" s="33">
        <v>2</v>
      </c>
      <c r="D119" s="33">
        <v>3</v>
      </c>
      <c r="E119" s="34">
        <v>4</v>
      </c>
      <c r="F119" s="34">
        <v>5</v>
      </c>
      <c r="G119" s="33">
        <v>6</v>
      </c>
      <c r="H119" s="33">
        <v>7</v>
      </c>
      <c r="I119" s="33">
        <v>8</v>
      </c>
      <c r="J119" s="33">
        <v>9</v>
      </c>
      <c r="K119" s="33">
        <v>10</v>
      </c>
      <c r="L119" s="34">
        <v>11</v>
      </c>
      <c r="M119" s="34">
        <v>12</v>
      </c>
      <c r="N119" s="33">
        <v>13</v>
      </c>
      <c r="O119" s="33">
        <v>14</v>
      </c>
      <c r="P119" s="33">
        <v>15</v>
      </c>
      <c r="Q119" s="33">
        <v>16</v>
      </c>
      <c r="R119" s="33">
        <v>17</v>
      </c>
      <c r="S119" s="34">
        <v>18</v>
      </c>
      <c r="T119" s="34">
        <v>19</v>
      </c>
      <c r="U119" s="33">
        <v>20</v>
      </c>
      <c r="V119" s="33">
        <v>21</v>
      </c>
      <c r="W119" s="33">
        <v>22</v>
      </c>
      <c r="X119" s="33">
        <v>23</v>
      </c>
      <c r="Y119" s="33">
        <v>24</v>
      </c>
      <c r="Z119" s="34">
        <v>25</v>
      </c>
      <c r="AA119" s="34">
        <v>26</v>
      </c>
      <c r="AB119" s="33">
        <v>27</v>
      </c>
      <c r="AC119" s="33">
        <v>28</v>
      </c>
      <c r="AD119" s="33">
        <v>29</v>
      </c>
      <c r="AE119" s="33">
        <v>30</v>
      </c>
      <c r="AF119" s="33">
        <v>31</v>
      </c>
      <c r="AG119" s="57">
        <f t="shared" si="8"/>
        <v>0</v>
      </c>
      <c r="AH119" s="15"/>
      <c r="AI119" s="9"/>
      <c r="AJ119" s="9"/>
      <c r="AK119" s="12"/>
      <c r="AL119" s="12"/>
      <c r="AM119" s="9"/>
      <c r="AN119" s="9"/>
    </row>
    <row r="120" spans="1:40" s="8" customFormat="1" ht="17.100000000000001" customHeight="1" x14ac:dyDescent="0.3">
      <c r="A120" s="27" t="s">
        <v>9</v>
      </c>
      <c r="B120" s="33">
        <v>1</v>
      </c>
      <c r="C120" s="33">
        <v>2</v>
      </c>
      <c r="D120" s="40" t="s">
        <v>22</v>
      </c>
      <c r="E120" s="40">
        <v>4</v>
      </c>
      <c r="F120" s="40">
        <v>5</v>
      </c>
      <c r="G120" s="40" t="s">
        <v>22</v>
      </c>
      <c r="H120" s="40" t="s">
        <v>22</v>
      </c>
      <c r="I120" s="40" t="s">
        <v>22</v>
      </c>
      <c r="J120" s="40" t="s">
        <v>22</v>
      </c>
      <c r="K120" s="40" t="s">
        <v>22</v>
      </c>
      <c r="L120" s="40">
        <v>11</v>
      </c>
      <c r="M120" s="40">
        <v>12</v>
      </c>
      <c r="N120" s="33">
        <v>13</v>
      </c>
      <c r="O120" s="33">
        <v>14</v>
      </c>
      <c r="P120" s="33">
        <v>15</v>
      </c>
      <c r="Q120" s="33">
        <v>16</v>
      </c>
      <c r="R120" s="33">
        <v>17</v>
      </c>
      <c r="S120" s="34">
        <v>18</v>
      </c>
      <c r="T120" s="34">
        <v>19</v>
      </c>
      <c r="U120" s="33">
        <v>20</v>
      </c>
      <c r="V120" s="33">
        <v>21</v>
      </c>
      <c r="W120" s="33">
        <v>22</v>
      </c>
      <c r="X120" s="33">
        <v>23</v>
      </c>
      <c r="Y120" s="33">
        <v>24</v>
      </c>
      <c r="Z120" s="34">
        <v>25</v>
      </c>
      <c r="AA120" s="34">
        <v>26</v>
      </c>
      <c r="AB120" s="33">
        <v>27</v>
      </c>
      <c r="AC120" s="33">
        <v>28</v>
      </c>
      <c r="AD120" s="33">
        <v>29</v>
      </c>
      <c r="AE120" s="33">
        <v>30</v>
      </c>
      <c r="AF120" s="33">
        <v>31</v>
      </c>
      <c r="AG120" s="57">
        <f t="shared" si="8"/>
        <v>6</v>
      </c>
      <c r="AH120" s="15"/>
      <c r="AI120" s="9"/>
      <c r="AJ120" s="9"/>
      <c r="AK120" s="9"/>
      <c r="AL120" s="9"/>
      <c r="AM120" s="9"/>
      <c r="AN120" s="9"/>
    </row>
    <row r="121" spans="1:40" ht="17.100000000000001" customHeight="1" x14ac:dyDescent="0.25">
      <c r="A121" s="28" t="s">
        <v>10</v>
      </c>
      <c r="B121" s="33">
        <v>1</v>
      </c>
      <c r="C121" s="33">
        <v>2</v>
      </c>
      <c r="D121" s="33">
        <v>3</v>
      </c>
      <c r="E121" s="34">
        <v>4</v>
      </c>
      <c r="F121" s="34">
        <v>5</v>
      </c>
      <c r="G121" s="33">
        <v>6</v>
      </c>
      <c r="H121" s="33">
        <v>7</v>
      </c>
      <c r="I121" s="33">
        <v>8</v>
      </c>
      <c r="J121" s="33">
        <v>9</v>
      </c>
      <c r="K121" s="33">
        <v>10</v>
      </c>
      <c r="L121" s="34">
        <v>11</v>
      </c>
      <c r="M121" s="34">
        <v>12</v>
      </c>
      <c r="N121" s="33">
        <v>13</v>
      </c>
      <c r="O121" s="33">
        <v>14</v>
      </c>
      <c r="P121" s="33">
        <v>15</v>
      </c>
      <c r="Q121" s="33">
        <v>16</v>
      </c>
      <c r="R121" s="33">
        <v>17</v>
      </c>
      <c r="S121" s="34">
        <v>18</v>
      </c>
      <c r="T121" s="34">
        <v>19</v>
      </c>
      <c r="U121" s="33">
        <v>20</v>
      </c>
      <c r="V121" s="33">
        <v>21</v>
      </c>
      <c r="W121" s="33">
        <v>22</v>
      </c>
      <c r="X121" s="33">
        <v>23</v>
      </c>
      <c r="Y121" s="33">
        <v>24</v>
      </c>
      <c r="Z121" s="34">
        <v>25</v>
      </c>
      <c r="AA121" s="34">
        <v>26</v>
      </c>
      <c r="AB121" s="33">
        <v>27</v>
      </c>
      <c r="AC121" s="33">
        <v>28</v>
      </c>
      <c r="AD121" s="33">
        <v>29</v>
      </c>
      <c r="AE121" s="33">
        <v>30</v>
      </c>
      <c r="AF121" s="33">
        <v>31</v>
      </c>
      <c r="AG121" s="57">
        <f t="shared" si="8"/>
        <v>0</v>
      </c>
      <c r="AH121" s="15"/>
      <c r="AI121" s="9"/>
      <c r="AJ121" s="9"/>
      <c r="AK121" s="9"/>
      <c r="AL121" s="9"/>
      <c r="AM121" s="9"/>
      <c r="AN121" s="9"/>
    </row>
    <row r="122" spans="1:40" s="7" customFormat="1" ht="20.100000000000001" customHeight="1" x14ac:dyDescent="0.25">
      <c r="A122" s="27" t="s">
        <v>15</v>
      </c>
      <c r="B122" s="33">
        <v>1</v>
      </c>
      <c r="C122" s="33">
        <v>2</v>
      </c>
      <c r="D122" s="33">
        <v>3</v>
      </c>
      <c r="E122" s="34">
        <v>4</v>
      </c>
      <c r="F122" s="34">
        <v>5</v>
      </c>
      <c r="G122" s="33">
        <v>6</v>
      </c>
      <c r="H122" s="33">
        <v>7</v>
      </c>
      <c r="I122" s="33">
        <v>8</v>
      </c>
      <c r="J122" s="33">
        <v>9</v>
      </c>
      <c r="K122" s="33">
        <v>10</v>
      </c>
      <c r="L122" s="34">
        <v>11</v>
      </c>
      <c r="M122" s="34">
        <v>12</v>
      </c>
      <c r="N122" s="33">
        <v>13</v>
      </c>
      <c r="O122" s="33">
        <v>14</v>
      </c>
      <c r="P122" s="33">
        <v>15</v>
      </c>
      <c r="Q122" s="33">
        <v>16</v>
      </c>
      <c r="R122" s="33">
        <v>17</v>
      </c>
      <c r="S122" s="34">
        <v>18</v>
      </c>
      <c r="T122" s="34">
        <v>19</v>
      </c>
      <c r="U122" s="33">
        <v>20</v>
      </c>
      <c r="V122" s="33">
        <v>21</v>
      </c>
      <c r="W122" s="33">
        <v>22</v>
      </c>
      <c r="X122" s="33">
        <v>23</v>
      </c>
      <c r="Y122" s="33">
        <v>24</v>
      </c>
      <c r="Z122" s="34">
        <v>25</v>
      </c>
      <c r="AA122" s="34">
        <v>26</v>
      </c>
      <c r="AB122" s="33">
        <v>27</v>
      </c>
      <c r="AC122" s="33">
        <v>28</v>
      </c>
      <c r="AD122" s="33">
        <v>29</v>
      </c>
      <c r="AE122" s="33">
        <v>30</v>
      </c>
      <c r="AF122" s="33">
        <v>31</v>
      </c>
      <c r="AG122" s="57">
        <f>COUNTIF($B122:$AF122,"U")</f>
        <v>0</v>
      </c>
      <c r="AH122" s="11"/>
      <c r="AI122" s="12"/>
      <c r="AJ122" s="12"/>
      <c r="AK122" s="9"/>
      <c r="AL122" s="9"/>
      <c r="AM122" s="12"/>
      <c r="AN122" s="12"/>
    </row>
    <row r="123" spans="1:40" s="8" customFormat="1" ht="17.100000000000001" customHeight="1" x14ac:dyDescent="0.3">
      <c r="A123" s="28" t="s">
        <v>29</v>
      </c>
      <c r="B123" s="33">
        <v>1</v>
      </c>
      <c r="C123" s="33">
        <v>2</v>
      </c>
      <c r="D123" s="33">
        <v>3</v>
      </c>
      <c r="E123" s="34">
        <v>4</v>
      </c>
      <c r="F123" s="34">
        <v>5</v>
      </c>
      <c r="G123" s="33">
        <v>6</v>
      </c>
      <c r="H123" s="33">
        <v>7</v>
      </c>
      <c r="I123" s="33">
        <v>8</v>
      </c>
      <c r="J123" s="33">
        <v>9</v>
      </c>
      <c r="K123" s="33">
        <v>10</v>
      </c>
      <c r="L123" s="34">
        <v>11</v>
      </c>
      <c r="M123" s="34">
        <v>12</v>
      </c>
      <c r="N123" s="33">
        <v>13</v>
      </c>
      <c r="O123" s="33">
        <v>14</v>
      </c>
      <c r="P123" s="33">
        <v>15</v>
      </c>
      <c r="Q123" s="33">
        <v>16</v>
      </c>
      <c r="R123" s="33">
        <v>17</v>
      </c>
      <c r="S123" s="34">
        <v>18</v>
      </c>
      <c r="T123" s="34">
        <v>19</v>
      </c>
      <c r="U123" s="33">
        <v>20</v>
      </c>
      <c r="V123" s="33">
        <v>21</v>
      </c>
      <c r="W123" s="33">
        <v>22</v>
      </c>
      <c r="X123" s="33">
        <v>23</v>
      </c>
      <c r="Y123" s="33">
        <v>24</v>
      </c>
      <c r="Z123" s="34">
        <v>25</v>
      </c>
      <c r="AA123" s="34">
        <v>26</v>
      </c>
      <c r="AB123" s="33">
        <v>27</v>
      </c>
      <c r="AC123" s="33">
        <v>28</v>
      </c>
      <c r="AD123" s="33">
        <v>29</v>
      </c>
      <c r="AE123" s="33">
        <v>30</v>
      </c>
      <c r="AF123" s="33">
        <v>31</v>
      </c>
      <c r="AG123" s="57">
        <f t="shared" si="8"/>
        <v>0</v>
      </c>
      <c r="AH123" s="15"/>
      <c r="AI123" s="9"/>
      <c r="AJ123" s="9"/>
      <c r="AK123" s="9"/>
      <c r="AL123" s="9"/>
      <c r="AM123" s="9"/>
      <c r="AN123" s="9"/>
    </row>
    <row r="124" spans="1:40" s="8" customFormat="1" ht="17.100000000000001" customHeight="1" x14ac:dyDescent="0.3">
      <c r="A124" s="29" t="s">
        <v>21</v>
      </c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57"/>
      <c r="AH124" s="15"/>
      <c r="AI124" s="9"/>
      <c r="AJ124" s="9"/>
      <c r="AK124" s="9"/>
      <c r="AL124" s="9"/>
      <c r="AM124" s="9"/>
      <c r="AN124" s="9"/>
    </row>
    <row r="125" spans="1:40" s="8" customFormat="1" ht="17.100000000000001" customHeight="1" x14ac:dyDescent="0.3">
      <c r="A125" s="30" t="s">
        <v>28</v>
      </c>
      <c r="B125" s="33">
        <v>1</v>
      </c>
      <c r="C125" s="33">
        <v>2</v>
      </c>
      <c r="D125" s="33">
        <v>3</v>
      </c>
      <c r="E125" s="34">
        <v>4</v>
      </c>
      <c r="F125" s="34">
        <v>5</v>
      </c>
      <c r="G125" s="33">
        <v>6</v>
      </c>
      <c r="H125" s="33">
        <v>7</v>
      </c>
      <c r="I125" s="33">
        <v>8</v>
      </c>
      <c r="J125" s="33">
        <v>9</v>
      </c>
      <c r="K125" s="33">
        <v>10</v>
      </c>
      <c r="L125" s="34">
        <v>11</v>
      </c>
      <c r="M125" s="34">
        <v>12</v>
      </c>
      <c r="N125" s="33">
        <v>13</v>
      </c>
      <c r="O125" s="33">
        <v>14</v>
      </c>
      <c r="P125" s="33">
        <v>15</v>
      </c>
      <c r="Q125" s="33">
        <v>16</v>
      </c>
      <c r="R125" s="33">
        <v>17</v>
      </c>
      <c r="S125" s="34">
        <v>18</v>
      </c>
      <c r="T125" s="34">
        <v>19</v>
      </c>
      <c r="U125" s="33">
        <v>20</v>
      </c>
      <c r="V125" s="33">
        <v>21</v>
      </c>
      <c r="W125" s="33">
        <v>22</v>
      </c>
      <c r="X125" s="33">
        <v>23</v>
      </c>
      <c r="Y125" s="33">
        <v>24</v>
      </c>
      <c r="Z125" s="34">
        <v>25</v>
      </c>
      <c r="AA125" s="34">
        <v>26</v>
      </c>
      <c r="AB125" s="33">
        <v>27</v>
      </c>
      <c r="AC125" s="33">
        <v>28</v>
      </c>
      <c r="AD125" s="33">
        <v>29</v>
      </c>
      <c r="AE125" s="33">
        <v>30</v>
      </c>
      <c r="AF125" s="33">
        <v>31</v>
      </c>
      <c r="AG125" s="57">
        <f t="shared" si="8"/>
        <v>0</v>
      </c>
      <c r="AH125" s="15"/>
      <c r="AI125" s="9"/>
      <c r="AJ125" s="9"/>
      <c r="AK125" s="9"/>
      <c r="AL125" s="9"/>
      <c r="AM125" s="9"/>
      <c r="AN125" s="9"/>
    </row>
    <row r="126" spans="1:40" s="8" customFormat="1" ht="17.100000000000001" customHeight="1" x14ac:dyDescent="0.3">
      <c r="A126" s="27" t="s">
        <v>17</v>
      </c>
      <c r="B126" s="33">
        <v>1</v>
      </c>
      <c r="C126" s="33">
        <v>2</v>
      </c>
      <c r="D126" s="33">
        <v>3</v>
      </c>
      <c r="E126" s="34">
        <v>4</v>
      </c>
      <c r="F126" s="34">
        <v>5</v>
      </c>
      <c r="G126" s="33">
        <v>6</v>
      </c>
      <c r="H126" s="33">
        <v>7</v>
      </c>
      <c r="I126" s="33">
        <v>8</v>
      </c>
      <c r="J126" s="33">
        <v>9</v>
      </c>
      <c r="K126" s="33">
        <v>10</v>
      </c>
      <c r="L126" s="34">
        <v>11</v>
      </c>
      <c r="M126" s="34">
        <v>12</v>
      </c>
      <c r="N126" s="33">
        <v>13</v>
      </c>
      <c r="O126" s="33">
        <v>14</v>
      </c>
      <c r="P126" s="33">
        <v>15</v>
      </c>
      <c r="Q126" s="33">
        <v>16</v>
      </c>
      <c r="R126" s="33">
        <v>17</v>
      </c>
      <c r="S126" s="34">
        <v>18</v>
      </c>
      <c r="T126" s="34">
        <v>19</v>
      </c>
      <c r="U126" s="33">
        <v>20</v>
      </c>
      <c r="V126" s="33">
        <v>21</v>
      </c>
      <c r="W126" s="33">
        <v>22</v>
      </c>
      <c r="X126" s="33">
        <v>23</v>
      </c>
      <c r="Y126" s="33">
        <v>24</v>
      </c>
      <c r="Z126" s="34">
        <v>25</v>
      </c>
      <c r="AA126" s="34">
        <v>26</v>
      </c>
      <c r="AB126" s="33">
        <v>27</v>
      </c>
      <c r="AC126" s="33">
        <v>28</v>
      </c>
      <c r="AD126" s="33">
        <v>29</v>
      </c>
      <c r="AE126" s="33">
        <v>30</v>
      </c>
      <c r="AF126" s="33">
        <v>31</v>
      </c>
      <c r="AG126" s="57">
        <f t="shared" si="8"/>
        <v>0</v>
      </c>
      <c r="AH126" s="15"/>
      <c r="AI126" s="9"/>
      <c r="AJ126" s="9"/>
      <c r="AK126" s="9"/>
      <c r="AL126" s="9"/>
      <c r="AM126" s="9"/>
      <c r="AN126" s="9"/>
    </row>
    <row r="127" spans="1:40" s="8" customFormat="1" ht="17.100000000000001" customHeight="1" x14ac:dyDescent="0.3">
      <c r="A127" s="30" t="s">
        <v>16</v>
      </c>
      <c r="B127" s="33">
        <v>1</v>
      </c>
      <c r="C127" s="33">
        <v>2</v>
      </c>
      <c r="D127" s="33">
        <v>3</v>
      </c>
      <c r="E127" s="34">
        <v>4</v>
      </c>
      <c r="F127" s="34">
        <v>5</v>
      </c>
      <c r="G127" s="47" t="s">
        <v>22</v>
      </c>
      <c r="H127" s="47" t="s">
        <v>22</v>
      </c>
      <c r="I127" s="47" t="s">
        <v>22</v>
      </c>
      <c r="J127" s="47" t="s">
        <v>22</v>
      </c>
      <c r="K127" s="47" t="s">
        <v>22</v>
      </c>
      <c r="L127" s="47">
        <v>11</v>
      </c>
      <c r="M127" s="47">
        <v>12</v>
      </c>
      <c r="N127" s="47" t="s">
        <v>22</v>
      </c>
      <c r="O127" s="33">
        <v>14</v>
      </c>
      <c r="P127" s="33">
        <v>15</v>
      </c>
      <c r="Q127" s="33">
        <v>16</v>
      </c>
      <c r="R127" s="33">
        <v>17</v>
      </c>
      <c r="S127" s="34">
        <v>18</v>
      </c>
      <c r="T127" s="34">
        <v>19</v>
      </c>
      <c r="U127" s="47" t="s">
        <v>22</v>
      </c>
      <c r="V127" s="47" t="s">
        <v>22</v>
      </c>
      <c r="W127" s="47" t="s">
        <v>22</v>
      </c>
      <c r="X127" s="47" t="s">
        <v>22</v>
      </c>
      <c r="Y127" s="47" t="s">
        <v>22</v>
      </c>
      <c r="Z127" s="47">
        <v>25</v>
      </c>
      <c r="AA127" s="47">
        <v>26</v>
      </c>
      <c r="AB127" s="47" t="s">
        <v>22</v>
      </c>
      <c r="AC127" s="33">
        <v>28</v>
      </c>
      <c r="AD127" s="33">
        <v>29</v>
      </c>
      <c r="AE127" s="33">
        <v>30</v>
      </c>
      <c r="AF127" s="33">
        <v>31</v>
      </c>
      <c r="AG127" s="57">
        <f t="shared" si="8"/>
        <v>12</v>
      </c>
      <c r="AH127" s="15"/>
      <c r="AI127" s="9"/>
      <c r="AJ127" s="9"/>
      <c r="AK127" s="9"/>
      <c r="AL127" s="9"/>
      <c r="AM127" s="9"/>
      <c r="AN127" s="9"/>
    </row>
    <row r="128" spans="1:40" s="8" customFormat="1" ht="17.100000000000001" customHeight="1" x14ac:dyDescent="0.3">
      <c r="A128" s="29" t="s">
        <v>20</v>
      </c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57"/>
      <c r="AH128" s="15"/>
      <c r="AI128" s="9"/>
      <c r="AJ128" s="9"/>
      <c r="AK128" s="9"/>
      <c r="AL128" s="9"/>
      <c r="AM128" s="9"/>
      <c r="AN128" s="9"/>
    </row>
    <row r="129" spans="1:40" s="8" customFormat="1" ht="17.100000000000001" customHeight="1" x14ac:dyDescent="0.3">
      <c r="A129" s="27" t="s">
        <v>11</v>
      </c>
      <c r="B129" s="33">
        <v>1</v>
      </c>
      <c r="C129" s="33">
        <v>2</v>
      </c>
      <c r="D129" s="33">
        <v>3</v>
      </c>
      <c r="E129" s="34">
        <v>4</v>
      </c>
      <c r="F129" s="34">
        <v>5</v>
      </c>
      <c r="G129" s="33">
        <v>6</v>
      </c>
      <c r="H129" s="33">
        <v>7</v>
      </c>
      <c r="I129" s="33">
        <v>8</v>
      </c>
      <c r="J129" s="33">
        <v>9</v>
      </c>
      <c r="K129" s="33">
        <v>10</v>
      </c>
      <c r="L129" s="34">
        <v>11</v>
      </c>
      <c r="M129" s="34">
        <v>12</v>
      </c>
      <c r="N129" s="33">
        <v>13</v>
      </c>
      <c r="O129" s="33">
        <v>14</v>
      </c>
      <c r="P129" s="33">
        <v>15</v>
      </c>
      <c r="Q129" s="33">
        <v>16</v>
      </c>
      <c r="R129" s="33">
        <v>17</v>
      </c>
      <c r="S129" s="34">
        <v>18</v>
      </c>
      <c r="T129" s="34">
        <v>19</v>
      </c>
      <c r="U129" s="33">
        <v>20</v>
      </c>
      <c r="V129" s="33">
        <v>21</v>
      </c>
      <c r="W129" s="33">
        <v>22</v>
      </c>
      <c r="X129" s="33">
        <v>23</v>
      </c>
      <c r="Y129" s="33">
        <v>24</v>
      </c>
      <c r="Z129" s="34">
        <v>25</v>
      </c>
      <c r="AA129" s="34">
        <v>26</v>
      </c>
      <c r="AB129" s="33">
        <v>27</v>
      </c>
      <c r="AC129" s="33">
        <v>28</v>
      </c>
      <c r="AD129" s="33">
        <v>29</v>
      </c>
      <c r="AE129" s="33">
        <v>30</v>
      </c>
      <c r="AF129" s="33">
        <v>31</v>
      </c>
      <c r="AG129" s="57">
        <f t="shared" si="8"/>
        <v>0</v>
      </c>
      <c r="AH129" s="15"/>
      <c r="AI129" s="9"/>
      <c r="AJ129" s="9"/>
      <c r="AK129" s="9"/>
      <c r="AL129" s="9"/>
      <c r="AM129" s="9"/>
      <c r="AN129" s="9"/>
    </row>
    <row r="130" spans="1:40" s="8" customFormat="1" ht="17.100000000000001" customHeight="1" x14ac:dyDescent="0.3">
      <c r="A130" s="28" t="s">
        <v>12</v>
      </c>
      <c r="B130" s="33">
        <v>1</v>
      </c>
      <c r="C130" s="33">
        <v>2</v>
      </c>
      <c r="D130" s="33">
        <v>3</v>
      </c>
      <c r="E130" s="34">
        <v>4</v>
      </c>
      <c r="F130" s="34">
        <v>5</v>
      </c>
      <c r="G130" s="33">
        <v>6</v>
      </c>
      <c r="H130" s="33">
        <v>7</v>
      </c>
      <c r="I130" s="33">
        <v>8</v>
      </c>
      <c r="J130" s="33">
        <v>9</v>
      </c>
      <c r="K130" s="33">
        <v>10</v>
      </c>
      <c r="L130" s="34">
        <v>11</v>
      </c>
      <c r="M130" s="34">
        <v>12</v>
      </c>
      <c r="N130" s="33">
        <v>13</v>
      </c>
      <c r="O130" s="33">
        <v>14</v>
      </c>
      <c r="P130" s="33">
        <v>15</v>
      </c>
      <c r="Q130" s="33">
        <v>16</v>
      </c>
      <c r="R130" s="33">
        <v>17</v>
      </c>
      <c r="S130" s="34">
        <v>18</v>
      </c>
      <c r="T130" s="34">
        <v>19</v>
      </c>
      <c r="U130" s="33">
        <v>20</v>
      </c>
      <c r="V130" s="33">
        <v>21</v>
      </c>
      <c r="W130" s="33">
        <v>22</v>
      </c>
      <c r="X130" s="33">
        <v>23</v>
      </c>
      <c r="Y130" s="33">
        <v>24</v>
      </c>
      <c r="Z130" s="34">
        <v>25</v>
      </c>
      <c r="AA130" s="34">
        <v>26</v>
      </c>
      <c r="AB130" s="33">
        <v>27</v>
      </c>
      <c r="AC130" s="33">
        <v>28</v>
      </c>
      <c r="AD130" s="33">
        <v>29</v>
      </c>
      <c r="AE130" s="33">
        <v>30</v>
      </c>
      <c r="AF130" s="33">
        <v>31</v>
      </c>
      <c r="AG130" s="57">
        <f t="shared" si="8"/>
        <v>0</v>
      </c>
      <c r="AH130" s="15"/>
      <c r="AI130" s="9"/>
      <c r="AJ130" s="9"/>
      <c r="AK130" s="9"/>
      <c r="AL130" s="9"/>
      <c r="AM130" s="9"/>
      <c r="AN130" s="9"/>
    </row>
    <row r="131" spans="1:40" s="8" customFormat="1" ht="17.100000000000001" customHeight="1" x14ac:dyDescent="0.3">
      <c r="A131" s="27" t="s">
        <v>13</v>
      </c>
      <c r="B131" s="40" t="s">
        <v>22</v>
      </c>
      <c r="C131" s="40" t="s">
        <v>22</v>
      </c>
      <c r="D131" s="40" t="s">
        <v>22</v>
      </c>
      <c r="E131" s="40">
        <v>4</v>
      </c>
      <c r="F131" s="40">
        <v>5</v>
      </c>
      <c r="G131" s="40" t="s">
        <v>22</v>
      </c>
      <c r="H131" s="40" t="s">
        <v>22</v>
      </c>
      <c r="I131" s="40" t="s">
        <v>22</v>
      </c>
      <c r="J131" s="40" t="s">
        <v>22</v>
      </c>
      <c r="K131" s="40" t="s">
        <v>22</v>
      </c>
      <c r="L131" s="40">
        <v>11</v>
      </c>
      <c r="M131" s="40">
        <v>12</v>
      </c>
      <c r="N131" s="40" t="s">
        <v>22</v>
      </c>
      <c r="O131" s="40" t="s">
        <v>22</v>
      </c>
      <c r="P131" s="40" t="s">
        <v>22</v>
      </c>
      <c r="Q131" s="40" t="s">
        <v>22</v>
      </c>
      <c r="R131" s="40" t="s">
        <v>22</v>
      </c>
      <c r="S131" s="40">
        <v>18</v>
      </c>
      <c r="T131" s="40">
        <v>19</v>
      </c>
      <c r="U131" s="40" t="s">
        <v>22</v>
      </c>
      <c r="V131" s="40" t="s">
        <v>22</v>
      </c>
      <c r="W131" s="40" t="s">
        <v>22</v>
      </c>
      <c r="X131" s="40" t="s">
        <v>22</v>
      </c>
      <c r="Y131" s="40" t="s">
        <v>22</v>
      </c>
      <c r="Z131" s="40">
        <v>25</v>
      </c>
      <c r="AA131" s="40">
        <v>26</v>
      </c>
      <c r="AB131" s="40" t="s">
        <v>22</v>
      </c>
      <c r="AC131" s="40" t="s">
        <v>22</v>
      </c>
      <c r="AD131" s="40" t="s">
        <v>22</v>
      </c>
      <c r="AE131" s="40" t="s">
        <v>22</v>
      </c>
      <c r="AF131" s="40" t="s">
        <v>22</v>
      </c>
      <c r="AG131" s="57">
        <f t="shared" si="8"/>
        <v>23</v>
      </c>
      <c r="AH131" s="15"/>
      <c r="AI131" s="9"/>
      <c r="AJ131" s="9"/>
      <c r="AK131" s="9"/>
      <c r="AL131" s="9"/>
      <c r="AM131" s="9"/>
      <c r="AN131" s="9"/>
    </row>
    <row r="132" spans="1:40" s="8" customFormat="1" ht="17.100000000000001" customHeight="1" x14ac:dyDescent="0.3">
      <c r="A132" s="29" t="s">
        <v>19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57"/>
      <c r="AH132" s="15"/>
      <c r="AI132" s="9"/>
      <c r="AJ132" s="9"/>
      <c r="AK132" s="9"/>
      <c r="AL132" s="9"/>
      <c r="AM132" s="9"/>
      <c r="AN132" s="9"/>
    </row>
    <row r="133" spans="1:40" s="8" customFormat="1" ht="17.100000000000001" customHeight="1" x14ac:dyDescent="0.3">
      <c r="A133" s="27" t="s">
        <v>18</v>
      </c>
      <c r="B133" s="33">
        <v>1</v>
      </c>
      <c r="C133" s="33">
        <v>2</v>
      </c>
      <c r="D133" s="33">
        <v>3</v>
      </c>
      <c r="E133" s="34">
        <v>4</v>
      </c>
      <c r="F133" s="34">
        <v>5</v>
      </c>
      <c r="G133" s="46" t="s">
        <v>22</v>
      </c>
      <c r="H133" s="46" t="s">
        <v>22</v>
      </c>
      <c r="I133" s="46" t="s">
        <v>22</v>
      </c>
      <c r="J133" s="46" t="s">
        <v>22</v>
      </c>
      <c r="K133" s="46" t="s">
        <v>22</v>
      </c>
      <c r="L133" s="46">
        <v>11</v>
      </c>
      <c r="M133" s="46">
        <v>12</v>
      </c>
      <c r="N133" s="46" t="s">
        <v>22</v>
      </c>
      <c r="O133" s="46" t="s">
        <v>22</v>
      </c>
      <c r="P133" s="46" t="s">
        <v>22</v>
      </c>
      <c r="Q133" s="46" t="s">
        <v>22</v>
      </c>
      <c r="R133" s="46" t="s">
        <v>22</v>
      </c>
      <c r="S133" s="46">
        <v>18</v>
      </c>
      <c r="T133" s="46">
        <v>19</v>
      </c>
      <c r="U133" s="33">
        <v>20</v>
      </c>
      <c r="V133" s="33">
        <v>21</v>
      </c>
      <c r="W133" s="33">
        <v>22</v>
      </c>
      <c r="X133" s="33">
        <v>23</v>
      </c>
      <c r="Y133" s="33">
        <v>24</v>
      </c>
      <c r="Z133" s="34">
        <v>25</v>
      </c>
      <c r="AA133" s="34">
        <v>26</v>
      </c>
      <c r="AB133" s="33">
        <v>27</v>
      </c>
      <c r="AC133" s="33">
        <v>28</v>
      </c>
      <c r="AD133" s="33">
        <v>29</v>
      </c>
      <c r="AE133" s="33">
        <v>30</v>
      </c>
      <c r="AF133" s="33">
        <v>31</v>
      </c>
      <c r="AG133" s="57">
        <f t="shared" si="8"/>
        <v>10</v>
      </c>
      <c r="AH133" s="15"/>
      <c r="AI133" s="9"/>
      <c r="AJ133" s="9"/>
      <c r="AK133" s="9"/>
      <c r="AL133" s="9"/>
      <c r="AM133" s="9"/>
      <c r="AN133" s="9"/>
    </row>
    <row r="134" spans="1:40" s="8" customFormat="1" ht="17.100000000000001" customHeight="1" x14ac:dyDescent="0.3">
      <c r="A134" s="16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8"/>
      <c r="AH134" s="15"/>
      <c r="AI134" s="9"/>
      <c r="AJ134" s="9"/>
      <c r="AK134" s="9"/>
      <c r="AL134" s="9"/>
      <c r="AM134" s="9"/>
      <c r="AN134" s="9"/>
    </row>
    <row r="135" spans="1:40" s="8" customFormat="1" ht="17.100000000000001" customHeight="1" x14ac:dyDescent="0.3">
      <c r="A135" s="23">
        <v>46235</v>
      </c>
      <c r="B135" s="62" t="s">
        <v>1</v>
      </c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15"/>
      <c r="AI135" s="9"/>
      <c r="AJ135" s="9"/>
      <c r="AK135" s="9"/>
      <c r="AL135" s="9"/>
      <c r="AM135" s="9"/>
      <c r="AN135" s="9"/>
    </row>
    <row r="136" spans="1:40" s="8" customFormat="1" ht="17.100000000000001" customHeight="1" x14ac:dyDescent="0.3">
      <c r="A136" s="13" t="s">
        <v>2</v>
      </c>
      <c r="B136" s="32" t="s">
        <v>4</v>
      </c>
      <c r="C136" s="32" t="s">
        <v>4</v>
      </c>
      <c r="D136" s="32" t="s">
        <v>5</v>
      </c>
      <c r="E136" s="32" t="s">
        <v>6</v>
      </c>
      <c r="F136" s="32" t="s">
        <v>5</v>
      </c>
      <c r="G136" s="32" t="s">
        <v>6</v>
      </c>
      <c r="H136" s="32" t="s">
        <v>3</v>
      </c>
      <c r="I136" s="32" t="s">
        <v>4</v>
      </c>
      <c r="J136" s="32" t="s">
        <v>4</v>
      </c>
      <c r="K136" s="32" t="s">
        <v>5</v>
      </c>
      <c r="L136" s="32" t="s">
        <v>6</v>
      </c>
      <c r="M136" s="32" t="s">
        <v>5</v>
      </c>
      <c r="N136" s="32" t="s">
        <v>6</v>
      </c>
      <c r="O136" s="32" t="s">
        <v>3</v>
      </c>
      <c r="P136" s="32" t="s">
        <v>4</v>
      </c>
      <c r="Q136" s="32" t="s">
        <v>4</v>
      </c>
      <c r="R136" s="32" t="s">
        <v>5</v>
      </c>
      <c r="S136" s="32" t="s">
        <v>6</v>
      </c>
      <c r="T136" s="32" t="s">
        <v>5</v>
      </c>
      <c r="U136" s="32" t="s">
        <v>6</v>
      </c>
      <c r="V136" s="32" t="s">
        <v>3</v>
      </c>
      <c r="W136" s="32" t="s">
        <v>4</v>
      </c>
      <c r="X136" s="32" t="s">
        <v>4</v>
      </c>
      <c r="Y136" s="32" t="s">
        <v>5</v>
      </c>
      <c r="Z136" s="32" t="s">
        <v>6</v>
      </c>
      <c r="AA136" s="32" t="s">
        <v>5</v>
      </c>
      <c r="AB136" s="32" t="s">
        <v>6</v>
      </c>
      <c r="AC136" s="32" t="s">
        <v>3</v>
      </c>
      <c r="AD136" s="32" t="s">
        <v>4</v>
      </c>
      <c r="AE136" s="32" t="s">
        <v>4</v>
      </c>
      <c r="AF136" s="32" t="s">
        <v>5</v>
      </c>
      <c r="AG136" s="21" t="s">
        <v>7</v>
      </c>
      <c r="AH136" s="15"/>
      <c r="AI136" s="9"/>
      <c r="AJ136" s="9"/>
      <c r="AK136" s="9"/>
      <c r="AL136" s="9"/>
      <c r="AM136" s="9"/>
      <c r="AN136" s="9"/>
    </row>
    <row r="137" spans="1:40" s="8" customFormat="1" ht="17.100000000000001" customHeight="1" x14ac:dyDescent="0.3">
      <c r="A137" s="27" t="s">
        <v>8</v>
      </c>
      <c r="B137" s="34">
        <v>1</v>
      </c>
      <c r="C137" s="34">
        <v>2</v>
      </c>
      <c r="D137" s="33">
        <v>3</v>
      </c>
      <c r="E137" s="33">
        <v>4</v>
      </c>
      <c r="F137" s="33">
        <v>5</v>
      </c>
      <c r="G137" s="33">
        <v>6</v>
      </c>
      <c r="H137" s="33">
        <v>7</v>
      </c>
      <c r="I137" s="34">
        <v>8</v>
      </c>
      <c r="J137" s="34">
        <v>9</v>
      </c>
      <c r="K137" s="33">
        <v>10</v>
      </c>
      <c r="L137" s="33">
        <v>11</v>
      </c>
      <c r="M137" s="33">
        <v>12</v>
      </c>
      <c r="N137" s="33">
        <v>13</v>
      </c>
      <c r="O137" s="33">
        <v>14</v>
      </c>
      <c r="P137" s="34">
        <v>15</v>
      </c>
      <c r="Q137" s="34">
        <v>16</v>
      </c>
      <c r="R137" s="33">
        <v>17</v>
      </c>
      <c r="S137" s="33">
        <v>18</v>
      </c>
      <c r="T137" s="33">
        <v>19</v>
      </c>
      <c r="U137" s="33">
        <v>20</v>
      </c>
      <c r="V137" s="33">
        <v>21</v>
      </c>
      <c r="W137" s="34">
        <v>22</v>
      </c>
      <c r="X137" s="34">
        <v>23</v>
      </c>
      <c r="Y137" s="33">
        <v>24</v>
      </c>
      <c r="Z137" s="33">
        <v>25</v>
      </c>
      <c r="AA137" s="33">
        <v>26</v>
      </c>
      <c r="AB137" s="33">
        <v>27</v>
      </c>
      <c r="AC137" s="33">
        <v>28</v>
      </c>
      <c r="AD137" s="34">
        <v>29</v>
      </c>
      <c r="AE137" s="34">
        <v>30</v>
      </c>
      <c r="AF137" s="33">
        <v>31</v>
      </c>
      <c r="AG137" s="57">
        <f t="shared" ref="AG137:AG152" si="9">COUNTIF($B137:$AF137,"U")</f>
        <v>0</v>
      </c>
      <c r="AH137" s="15"/>
      <c r="AI137" s="9"/>
      <c r="AJ137" s="9"/>
      <c r="AK137" s="9"/>
      <c r="AL137" s="9"/>
      <c r="AM137" s="9"/>
      <c r="AN137" s="9"/>
    </row>
    <row r="138" spans="1:40" s="8" customFormat="1" ht="17.100000000000001" customHeight="1" x14ac:dyDescent="0.3">
      <c r="A138" s="28" t="s">
        <v>14</v>
      </c>
      <c r="B138" s="34">
        <v>1</v>
      </c>
      <c r="C138" s="34">
        <v>2</v>
      </c>
      <c r="D138" s="33">
        <v>3</v>
      </c>
      <c r="E138" s="33">
        <v>4</v>
      </c>
      <c r="F138" s="33">
        <v>5</v>
      </c>
      <c r="G138" s="33">
        <v>6</v>
      </c>
      <c r="H138" s="33">
        <v>7</v>
      </c>
      <c r="I138" s="34">
        <v>8</v>
      </c>
      <c r="J138" s="34">
        <v>9</v>
      </c>
      <c r="K138" s="33">
        <v>10</v>
      </c>
      <c r="L138" s="33">
        <v>11</v>
      </c>
      <c r="M138" s="33">
        <v>12</v>
      </c>
      <c r="N138" s="33">
        <v>13</v>
      </c>
      <c r="O138" s="33">
        <v>14</v>
      </c>
      <c r="P138" s="34">
        <v>15</v>
      </c>
      <c r="Q138" s="34">
        <v>16</v>
      </c>
      <c r="R138" s="33">
        <v>17</v>
      </c>
      <c r="S138" s="33">
        <v>18</v>
      </c>
      <c r="T138" s="33">
        <v>19</v>
      </c>
      <c r="U138" s="33">
        <v>20</v>
      </c>
      <c r="V138" s="33">
        <v>21</v>
      </c>
      <c r="W138" s="34">
        <v>22</v>
      </c>
      <c r="X138" s="34">
        <v>23</v>
      </c>
      <c r="Y138" s="33">
        <v>24</v>
      </c>
      <c r="Z138" s="33">
        <v>25</v>
      </c>
      <c r="AA138" s="33">
        <v>26</v>
      </c>
      <c r="AB138" s="33">
        <v>27</v>
      </c>
      <c r="AC138" s="33">
        <v>28</v>
      </c>
      <c r="AD138" s="46">
        <v>29</v>
      </c>
      <c r="AE138" s="46">
        <v>30</v>
      </c>
      <c r="AF138" s="46">
        <v>31</v>
      </c>
      <c r="AG138" s="57">
        <f t="shared" si="9"/>
        <v>0</v>
      </c>
      <c r="AH138" s="15"/>
      <c r="AI138" s="9"/>
      <c r="AJ138" s="9"/>
      <c r="AK138" s="9"/>
      <c r="AL138" s="9"/>
      <c r="AM138" s="9"/>
      <c r="AN138" s="9"/>
    </row>
    <row r="139" spans="1:40" s="8" customFormat="1" ht="17.100000000000001" customHeight="1" x14ac:dyDescent="0.3">
      <c r="A139" s="27" t="s">
        <v>9</v>
      </c>
      <c r="B139" s="34">
        <v>1</v>
      </c>
      <c r="C139" s="34">
        <v>2</v>
      </c>
      <c r="D139" s="40" t="s">
        <v>22</v>
      </c>
      <c r="E139" s="40" t="s">
        <v>22</v>
      </c>
      <c r="F139" s="40" t="s">
        <v>22</v>
      </c>
      <c r="G139" s="40" t="s">
        <v>22</v>
      </c>
      <c r="H139" s="40" t="s">
        <v>22</v>
      </c>
      <c r="I139" s="40">
        <v>8</v>
      </c>
      <c r="J139" s="40">
        <v>9</v>
      </c>
      <c r="K139" s="40" t="s">
        <v>22</v>
      </c>
      <c r="L139" s="40" t="s">
        <v>22</v>
      </c>
      <c r="M139" s="40" t="s">
        <v>22</v>
      </c>
      <c r="N139" s="40" t="s">
        <v>22</v>
      </c>
      <c r="O139" s="40" t="s">
        <v>22</v>
      </c>
      <c r="P139" s="40">
        <v>15</v>
      </c>
      <c r="Q139" s="40">
        <v>16</v>
      </c>
      <c r="R139" s="33">
        <v>17</v>
      </c>
      <c r="S139" s="33">
        <v>18</v>
      </c>
      <c r="T139" s="33">
        <v>19</v>
      </c>
      <c r="U139" s="33">
        <v>20</v>
      </c>
      <c r="V139" s="33">
        <v>21</v>
      </c>
      <c r="W139" s="34">
        <v>22</v>
      </c>
      <c r="X139" s="34">
        <v>23</v>
      </c>
      <c r="Y139" s="33">
        <v>24</v>
      </c>
      <c r="Z139" s="33">
        <v>25</v>
      </c>
      <c r="AA139" s="33">
        <v>26</v>
      </c>
      <c r="AB139" s="33">
        <v>27</v>
      </c>
      <c r="AC139" s="33">
        <v>28</v>
      </c>
      <c r="AD139" s="34">
        <v>29</v>
      </c>
      <c r="AE139" s="34">
        <v>30</v>
      </c>
      <c r="AF139" s="33">
        <v>31</v>
      </c>
      <c r="AG139" s="57">
        <f t="shared" si="9"/>
        <v>10</v>
      </c>
      <c r="AH139" s="15"/>
      <c r="AI139" s="9"/>
      <c r="AJ139" s="9"/>
      <c r="AK139" s="12"/>
      <c r="AL139" s="9"/>
      <c r="AM139" s="9"/>
      <c r="AN139" s="9"/>
    </row>
    <row r="140" spans="1:40" s="8" customFormat="1" ht="17.100000000000001" customHeight="1" x14ac:dyDescent="0.3">
      <c r="A140" s="28" t="s">
        <v>10</v>
      </c>
      <c r="B140" s="34">
        <v>1</v>
      </c>
      <c r="C140" s="34">
        <v>2</v>
      </c>
      <c r="D140" s="33">
        <v>3</v>
      </c>
      <c r="E140" s="33">
        <v>4</v>
      </c>
      <c r="F140" s="33">
        <v>5</v>
      </c>
      <c r="G140" s="33">
        <v>6</v>
      </c>
      <c r="H140" s="33">
        <v>7</v>
      </c>
      <c r="I140" s="47">
        <v>8</v>
      </c>
      <c r="J140" s="47">
        <v>9</v>
      </c>
      <c r="K140" s="33">
        <v>10</v>
      </c>
      <c r="L140" s="33">
        <v>11</v>
      </c>
      <c r="M140" s="33">
        <v>12</v>
      </c>
      <c r="N140" s="33">
        <v>13</v>
      </c>
      <c r="O140" s="47" t="s">
        <v>22</v>
      </c>
      <c r="P140" s="47">
        <v>15</v>
      </c>
      <c r="Q140" s="47">
        <v>16</v>
      </c>
      <c r="R140" s="47" t="s">
        <v>22</v>
      </c>
      <c r="S140" s="47" t="s">
        <v>22</v>
      </c>
      <c r="T140" s="47" t="s">
        <v>22</v>
      </c>
      <c r="U140" s="47" t="s">
        <v>22</v>
      </c>
      <c r="V140" s="47" t="s">
        <v>22</v>
      </c>
      <c r="W140" s="47">
        <v>22</v>
      </c>
      <c r="X140" s="47">
        <v>23</v>
      </c>
      <c r="Y140" s="47" t="s">
        <v>22</v>
      </c>
      <c r="Z140" s="47" t="s">
        <v>22</v>
      </c>
      <c r="AA140" s="47" t="s">
        <v>22</v>
      </c>
      <c r="AB140" s="47" t="s">
        <v>22</v>
      </c>
      <c r="AC140" s="47" t="s">
        <v>22</v>
      </c>
      <c r="AD140" s="47">
        <v>29</v>
      </c>
      <c r="AE140" s="47">
        <v>30</v>
      </c>
      <c r="AF140" s="33">
        <v>31</v>
      </c>
      <c r="AG140" s="57">
        <f t="shared" si="9"/>
        <v>11</v>
      </c>
      <c r="AH140" s="15"/>
      <c r="AI140" s="9"/>
      <c r="AJ140" s="9"/>
      <c r="AK140" s="9"/>
      <c r="AL140" s="9"/>
      <c r="AM140" s="9"/>
      <c r="AN140" s="9"/>
    </row>
    <row r="141" spans="1:40" ht="16.5" customHeight="1" x14ac:dyDescent="0.25">
      <c r="A141" s="27" t="s">
        <v>15</v>
      </c>
      <c r="B141" s="34">
        <v>1</v>
      </c>
      <c r="C141" s="34">
        <v>2</v>
      </c>
      <c r="D141" s="33">
        <v>3</v>
      </c>
      <c r="E141" s="33">
        <v>4</v>
      </c>
      <c r="F141" s="33">
        <v>5</v>
      </c>
      <c r="G141" s="33">
        <v>6</v>
      </c>
      <c r="H141" s="33">
        <v>7</v>
      </c>
      <c r="I141" s="34">
        <v>8</v>
      </c>
      <c r="J141" s="34">
        <v>9</v>
      </c>
      <c r="K141" s="33">
        <v>10</v>
      </c>
      <c r="L141" s="33">
        <v>11</v>
      </c>
      <c r="M141" s="33">
        <v>12</v>
      </c>
      <c r="N141" s="33">
        <v>13</v>
      </c>
      <c r="O141" s="33">
        <v>14</v>
      </c>
      <c r="P141" s="34">
        <v>15</v>
      </c>
      <c r="Q141" s="34">
        <v>16</v>
      </c>
      <c r="R141" s="33">
        <v>17</v>
      </c>
      <c r="S141" s="33">
        <v>18</v>
      </c>
      <c r="T141" s="40" t="s">
        <v>22</v>
      </c>
      <c r="U141" s="40" t="s">
        <v>22</v>
      </c>
      <c r="V141" s="40" t="s">
        <v>22</v>
      </c>
      <c r="W141" s="40">
        <v>22</v>
      </c>
      <c r="X141" s="40">
        <v>23</v>
      </c>
      <c r="Y141" s="40" t="s">
        <v>22</v>
      </c>
      <c r="Z141" s="33">
        <v>25</v>
      </c>
      <c r="AA141" s="33">
        <v>26</v>
      </c>
      <c r="AB141" s="33">
        <v>27</v>
      </c>
      <c r="AC141" s="33">
        <v>28</v>
      </c>
      <c r="AD141" s="34">
        <v>29</v>
      </c>
      <c r="AE141" s="34">
        <v>30</v>
      </c>
      <c r="AF141" s="33">
        <v>31</v>
      </c>
      <c r="AG141" s="57">
        <f>COUNTIF($B141:$AF141,"U")</f>
        <v>4</v>
      </c>
      <c r="AH141" s="15"/>
      <c r="AI141" s="9"/>
      <c r="AJ141" s="9"/>
      <c r="AK141" s="9"/>
      <c r="AL141" s="9"/>
      <c r="AM141" s="9"/>
      <c r="AN141" s="9"/>
    </row>
    <row r="142" spans="1:40" s="7" customFormat="1" ht="20.100000000000001" customHeight="1" x14ac:dyDescent="0.25">
      <c r="A142" s="28" t="s">
        <v>29</v>
      </c>
      <c r="B142" s="34">
        <v>1</v>
      </c>
      <c r="C142" s="34">
        <v>2</v>
      </c>
      <c r="D142" s="33">
        <v>3</v>
      </c>
      <c r="E142" s="33">
        <v>4</v>
      </c>
      <c r="F142" s="33">
        <v>5</v>
      </c>
      <c r="G142" s="33">
        <v>6</v>
      </c>
      <c r="H142" s="33">
        <v>7</v>
      </c>
      <c r="I142" s="34">
        <v>8</v>
      </c>
      <c r="J142" s="34">
        <v>9</v>
      </c>
      <c r="K142" s="33">
        <v>10</v>
      </c>
      <c r="L142" s="33">
        <v>11</v>
      </c>
      <c r="M142" s="33">
        <v>12</v>
      </c>
      <c r="N142" s="33">
        <v>13</v>
      </c>
      <c r="O142" s="33">
        <v>14</v>
      </c>
      <c r="P142" s="34">
        <v>15</v>
      </c>
      <c r="Q142" s="34">
        <v>16</v>
      </c>
      <c r="R142" s="33">
        <v>17</v>
      </c>
      <c r="S142" s="33">
        <v>18</v>
      </c>
      <c r="T142" s="33">
        <v>19</v>
      </c>
      <c r="U142" s="33">
        <v>20</v>
      </c>
      <c r="V142" s="33">
        <v>21</v>
      </c>
      <c r="W142" s="34">
        <v>22</v>
      </c>
      <c r="X142" s="34">
        <v>23</v>
      </c>
      <c r="Y142" s="33">
        <v>24</v>
      </c>
      <c r="Z142" s="33">
        <v>25</v>
      </c>
      <c r="AA142" s="33">
        <v>26</v>
      </c>
      <c r="AB142" s="33">
        <v>27</v>
      </c>
      <c r="AC142" s="33">
        <v>28</v>
      </c>
      <c r="AD142" s="34">
        <v>29</v>
      </c>
      <c r="AE142" s="34">
        <v>30</v>
      </c>
      <c r="AF142" s="33">
        <v>31</v>
      </c>
      <c r="AG142" s="57">
        <f t="shared" si="9"/>
        <v>0</v>
      </c>
      <c r="AH142" s="11"/>
      <c r="AI142" s="12"/>
      <c r="AJ142" s="12"/>
      <c r="AK142" s="9"/>
      <c r="AL142" s="9"/>
      <c r="AM142" s="12"/>
      <c r="AN142" s="12"/>
    </row>
    <row r="143" spans="1:40" s="8" customFormat="1" ht="17.100000000000001" customHeight="1" x14ac:dyDescent="0.3">
      <c r="A143" s="29" t="s">
        <v>21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57"/>
      <c r="AH143" s="15"/>
      <c r="AI143" s="9"/>
      <c r="AJ143" s="9"/>
      <c r="AK143" s="9"/>
      <c r="AL143" s="9"/>
      <c r="AM143" s="9"/>
      <c r="AN143" s="9"/>
    </row>
    <row r="144" spans="1:40" s="8" customFormat="1" ht="17.100000000000001" customHeight="1" x14ac:dyDescent="0.3">
      <c r="A144" s="30" t="s">
        <v>28</v>
      </c>
      <c r="B144" s="34">
        <v>1</v>
      </c>
      <c r="C144" s="34">
        <v>2</v>
      </c>
      <c r="D144" s="33">
        <v>3</v>
      </c>
      <c r="E144" s="33">
        <v>4</v>
      </c>
      <c r="F144" s="33">
        <v>5</v>
      </c>
      <c r="G144" s="33">
        <v>6</v>
      </c>
      <c r="H144" s="33">
        <v>7</v>
      </c>
      <c r="I144" s="34">
        <v>8</v>
      </c>
      <c r="J144" s="34">
        <v>9</v>
      </c>
      <c r="K144" s="33">
        <v>10</v>
      </c>
      <c r="L144" s="33">
        <v>11</v>
      </c>
      <c r="M144" s="33">
        <v>12</v>
      </c>
      <c r="N144" s="33">
        <v>13</v>
      </c>
      <c r="O144" s="33">
        <v>14</v>
      </c>
      <c r="P144" s="34">
        <v>15</v>
      </c>
      <c r="Q144" s="34">
        <v>16</v>
      </c>
      <c r="R144" s="33">
        <v>17</v>
      </c>
      <c r="S144" s="33">
        <v>18</v>
      </c>
      <c r="T144" s="33">
        <v>19</v>
      </c>
      <c r="U144" s="33">
        <v>20</v>
      </c>
      <c r="V144" s="33">
        <v>21</v>
      </c>
      <c r="W144" s="34">
        <v>22</v>
      </c>
      <c r="X144" s="34">
        <v>23</v>
      </c>
      <c r="Y144" s="33">
        <v>24</v>
      </c>
      <c r="Z144" s="33">
        <v>25</v>
      </c>
      <c r="AA144" s="33">
        <v>26</v>
      </c>
      <c r="AB144" s="33">
        <v>27</v>
      </c>
      <c r="AC144" s="33">
        <v>28</v>
      </c>
      <c r="AD144" s="34">
        <v>29</v>
      </c>
      <c r="AE144" s="34">
        <v>30</v>
      </c>
      <c r="AF144" s="33">
        <v>31</v>
      </c>
      <c r="AG144" s="57">
        <f t="shared" si="9"/>
        <v>0</v>
      </c>
      <c r="AH144" s="15"/>
      <c r="AI144" s="9"/>
      <c r="AJ144" s="9"/>
      <c r="AK144" s="9"/>
      <c r="AL144" s="9"/>
      <c r="AM144" s="9"/>
      <c r="AN144" s="9"/>
    </row>
    <row r="145" spans="1:40" s="8" customFormat="1" ht="17.100000000000001" customHeight="1" x14ac:dyDescent="0.3">
      <c r="A145" s="27" t="s">
        <v>17</v>
      </c>
      <c r="B145" s="34">
        <v>1</v>
      </c>
      <c r="C145" s="34">
        <v>2</v>
      </c>
      <c r="D145" s="46" t="s">
        <v>22</v>
      </c>
      <c r="E145" s="46" t="s">
        <v>22</v>
      </c>
      <c r="F145" s="46" t="s">
        <v>22</v>
      </c>
      <c r="G145" s="46" t="s">
        <v>22</v>
      </c>
      <c r="H145" s="46" t="s">
        <v>22</v>
      </c>
      <c r="I145" s="34">
        <v>8</v>
      </c>
      <c r="J145" s="34">
        <v>9</v>
      </c>
      <c r="K145" s="33">
        <v>10</v>
      </c>
      <c r="L145" s="33">
        <v>11</v>
      </c>
      <c r="M145" s="33">
        <v>12</v>
      </c>
      <c r="N145" s="33">
        <v>13</v>
      </c>
      <c r="O145" s="33">
        <v>14</v>
      </c>
      <c r="P145" s="34">
        <v>15</v>
      </c>
      <c r="Q145" s="34">
        <v>16</v>
      </c>
      <c r="R145" s="33">
        <v>17</v>
      </c>
      <c r="S145" s="33">
        <v>18</v>
      </c>
      <c r="T145" s="33">
        <v>19</v>
      </c>
      <c r="U145" s="33">
        <v>20</v>
      </c>
      <c r="V145" s="33">
        <v>21</v>
      </c>
      <c r="W145" s="34">
        <v>22</v>
      </c>
      <c r="X145" s="34">
        <v>23</v>
      </c>
      <c r="Y145" s="33">
        <v>24</v>
      </c>
      <c r="Z145" s="33">
        <v>25</v>
      </c>
      <c r="AA145" s="33">
        <v>26</v>
      </c>
      <c r="AB145" s="33">
        <v>27</v>
      </c>
      <c r="AC145" s="33">
        <v>28</v>
      </c>
      <c r="AD145" s="34">
        <v>29</v>
      </c>
      <c r="AE145" s="34">
        <v>30</v>
      </c>
      <c r="AF145" s="33">
        <v>31</v>
      </c>
      <c r="AG145" s="57">
        <f t="shared" si="9"/>
        <v>5</v>
      </c>
      <c r="AH145" s="15"/>
      <c r="AI145" s="9"/>
      <c r="AJ145" s="9"/>
      <c r="AK145" s="9"/>
      <c r="AL145" s="9"/>
      <c r="AM145" s="9"/>
      <c r="AN145" s="9"/>
    </row>
    <row r="146" spans="1:40" s="8" customFormat="1" ht="17.100000000000001" customHeight="1" x14ac:dyDescent="0.3">
      <c r="A146" s="30" t="s">
        <v>16</v>
      </c>
      <c r="B146" s="34">
        <v>1</v>
      </c>
      <c r="C146" s="34">
        <v>2</v>
      </c>
      <c r="D146" s="33">
        <v>3</v>
      </c>
      <c r="E146" s="33">
        <v>4</v>
      </c>
      <c r="F146" s="33">
        <v>5</v>
      </c>
      <c r="G146" s="33">
        <v>6</v>
      </c>
      <c r="H146" s="33">
        <v>7</v>
      </c>
      <c r="I146" s="34">
        <v>8</v>
      </c>
      <c r="J146" s="34">
        <v>9</v>
      </c>
      <c r="K146" s="33">
        <v>10</v>
      </c>
      <c r="L146" s="33">
        <v>11</v>
      </c>
      <c r="M146" s="33">
        <v>12</v>
      </c>
      <c r="N146" s="33">
        <v>13</v>
      </c>
      <c r="O146" s="47" t="s">
        <v>22</v>
      </c>
      <c r="P146" s="34">
        <v>15</v>
      </c>
      <c r="Q146" s="34">
        <v>16</v>
      </c>
      <c r="R146" s="33">
        <v>17</v>
      </c>
      <c r="S146" s="33">
        <v>18</v>
      </c>
      <c r="T146" s="33">
        <v>19</v>
      </c>
      <c r="U146" s="33">
        <v>20</v>
      </c>
      <c r="V146" s="33">
        <v>21</v>
      </c>
      <c r="W146" s="34">
        <v>22</v>
      </c>
      <c r="X146" s="34">
        <v>23</v>
      </c>
      <c r="Y146" s="33">
        <v>24</v>
      </c>
      <c r="Z146" s="33">
        <v>25</v>
      </c>
      <c r="AA146" s="33">
        <v>26</v>
      </c>
      <c r="AB146" s="33">
        <v>27</v>
      </c>
      <c r="AC146" s="33">
        <v>28</v>
      </c>
      <c r="AD146" s="34">
        <v>29</v>
      </c>
      <c r="AE146" s="34">
        <v>30</v>
      </c>
      <c r="AF146" s="33">
        <v>31</v>
      </c>
      <c r="AG146" s="57">
        <f t="shared" si="9"/>
        <v>1</v>
      </c>
      <c r="AH146" s="15"/>
      <c r="AI146" s="9"/>
      <c r="AJ146" s="9"/>
      <c r="AK146" s="9"/>
      <c r="AL146" s="9"/>
      <c r="AM146" s="9"/>
      <c r="AN146" s="9"/>
    </row>
    <row r="147" spans="1:40" s="8" customFormat="1" ht="17.100000000000001" customHeight="1" x14ac:dyDescent="0.3">
      <c r="A147" s="29" t="s">
        <v>20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57"/>
      <c r="AH147" s="15"/>
      <c r="AI147" s="9"/>
      <c r="AJ147" s="9"/>
      <c r="AK147" s="9"/>
      <c r="AL147" s="9"/>
      <c r="AM147" s="9"/>
      <c r="AN147" s="9"/>
    </row>
    <row r="148" spans="1:40" s="8" customFormat="1" ht="17.100000000000001" customHeight="1" x14ac:dyDescent="0.3">
      <c r="A148" s="27" t="s">
        <v>11</v>
      </c>
      <c r="B148" s="34">
        <v>1</v>
      </c>
      <c r="C148" s="34">
        <v>2</v>
      </c>
      <c r="D148" s="33">
        <v>3</v>
      </c>
      <c r="E148" s="33">
        <v>4</v>
      </c>
      <c r="F148" s="33">
        <v>5</v>
      </c>
      <c r="G148" s="33">
        <v>6</v>
      </c>
      <c r="H148" s="33">
        <v>7</v>
      </c>
      <c r="I148" s="34">
        <v>8</v>
      </c>
      <c r="J148" s="34">
        <v>9</v>
      </c>
      <c r="K148" s="33">
        <v>10</v>
      </c>
      <c r="L148" s="38" t="s">
        <v>22</v>
      </c>
      <c r="M148" s="38" t="s">
        <v>22</v>
      </c>
      <c r="N148" s="33">
        <v>13</v>
      </c>
      <c r="O148" s="33">
        <v>14</v>
      </c>
      <c r="P148" s="34">
        <v>15</v>
      </c>
      <c r="Q148" s="34">
        <v>16</v>
      </c>
      <c r="R148" s="33">
        <v>17</v>
      </c>
      <c r="S148" s="33">
        <v>18</v>
      </c>
      <c r="T148" s="33">
        <v>19</v>
      </c>
      <c r="U148" s="33">
        <v>20</v>
      </c>
      <c r="V148" s="33">
        <v>21</v>
      </c>
      <c r="W148" s="34">
        <v>22</v>
      </c>
      <c r="X148" s="34">
        <v>23</v>
      </c>
      <c r="Y148" s="33">
        <v>24</v>
      </c>
      <c r="Z148" s="33">
        <v>25</v>
      </c>
      <c r="AA148" s="33">
        <v>26</v>
      </c>
      <c r="AB148" s="33">
        <v>27</v>
      </c>
      <c r="AC148" s="33">
        <v>28</v>
      </c>
      <c r="AD148" s="34">
        <v>29</v>
      </c>
      <c r="AE148" s="34">
        <v>30</v>
      </c>
      <c r="AF148" s="33">
        <v>31</v>
      </c>
      <c r="AG148" s="57">
        <f t="shared" si="9"/>
        <v>2</v>
      </c>
      <c r="AH148" s="15"/>
      <c r="AI148" s="9"/>
      <c r="AJ148" s="9"/>
      <c r="AK148" s="9"/>
      <c r="AL148" s="9"/>
      <c r="AM148" s="9"/>
      <c r="AN148" s="9"/>
    </row>
    <row r="149" spans="1:40" s="8" customFormat="1" ht="17.100000000000001" customHeight="1" x14ac:dyDescent="0.3">
      <c r="A149" s="28" t="s">
        <v>12</v>
      </c>
      <c r="B149" s="34">
        <v>1</v>
      </c>
      <c r="C149" s="34">
        <v>2</v>
      </c>
      <c r="D149" s="33">
        <v>3</v>
      </c>
      <c r="E149" s="33">
        <v>4</v>
      </c>
      <c r="F149" s="33">
        <v>5</v>
      </c>
      <c r="G149" s="33">
        <v>6</v>
      </c>
      <c r="H149" s="33">
        <v>7</v>
      </c>
      <c r="I149" s="34">
        <v>8</v>
      </c>
      <c r="J149" s="34">
        <v>9</v>
      </c>
      <c r="K149" s="33">
        <v>10</v>
      </c>
      <c r="L149" s="33">
        <v>11</v>
      </c>
      <c r="M149" s="33">
        <v>12</v>
      </c>
      <c r="N149" s="33">
        <v>13</v>
      </c>
      <c r="O149" s="33">
        <v>14</v>
      </c>
      <c r="P149" s="34">
        <v>15</v>
      </c>
      <c r="Q149" s="34">
        <v>16</v>
      </c>
      <c r="R149" s="33">
        <v>17</v>
      </c>
      <c r="S149" s="33">
        <v>18</v>
      </c>
      <c r="T149" s="33">
        <v>19</v>
      </c>
      <c r="U149" s="33">
        <v>20</v>
      </c>
      <c r="V149" s="33">
        <v>21</v>
      </c>
      <c r="W149" s="34">
        <v>22</v>
      </c>
      <c r="X149" s="34">
        <v>23</v>
      </c>
      <c r="Y149" s="46" t="s">
        <v>22</v>
      </c>
      <c r="Z149" s="46" t="s">
        <v>22</v>
      </c>
      <c r="AA149" s="46" t="s">
        <v>22</v>
      </c>
      <c r="AB149" s="46" t="s">
        <v>22</v>
      </c>
      <c r="AC149" s="46" t="s">
        <v>22</v>
      </c>
      <c r="AD149" s="46">
        <v>29</v>
      </c>
      <c r="AE149" s="46">
        <v>30</v>
      </c>
      <c r="AF149" s="46" t="s">
        <v>22</v>
      </c>
      <c r="AG149" s="57">
        <f t="shared" si="9"/>
        <v>6</v>
      </c>
      <c r="AH149" s="15"/>
      <c r="AI149" s="9"/>
      <c r="AJ149" s="9"/>
      <c r="AK149" s="9"/>
      <c r="AL149" s="9"/>
      <c r="AM149" s="9"/>
      <c r="AN149" s="9"/>
    </row>
    <row r="150" spans="1:40" s="8" customFormat="1" ht="17.100000000000001" customHeight="1" x14ac:dyDescent="0.3">
      <c r="A150" s="27" t="s">
        <v>13</v>
      </c>
      <c r="B150" s="40">
        <v>1</v>
      </c>
      <c r="C150" s="40">
        <v>2</v>
      </c>
      <c r="D150" s="40" t="s">
        <v>22</v>
      </c>
      <c r="E150" s="40" t="s">
        <v>22</v>
      </c>
      <c r="F150" s="40" t="s">
        <v>22</v>
      </c>
      <c r="G150" s="40" t="s">
        <v>22</v>
      </c>
      <c r="H150" s="40" t="s">
        <v>22</v>
      </c>
      <c r="I150" s="40">
        <v>8</v>
      </c>
      <c r="J150" s="40">
        <v>9</v>
      </c>
      <c r="K150" s="40" t="s">
        <v>22</v>
      </c>
      <c r="L150" s="40" t="s">
        <v>22</v>
      </c>
      <c r="M150" s="40" t="s">
        <v>22</v>
      </c>
      <c r="N150" s="40" t="s">
        <v>22</v>
      </c>
      <c r="O150" s="40" t="s">
        <v>22</v>
      </c>
      <c r="P150" s="40">
        <v>15</v>
      </c>
      <c r="Q150" s="40">
        <v>16</v>
      </c>
      <c r="R150" s="40" t="s">
        <v>22</v>
      </c>
      <c r="S150" s="40" t="s">
        <v>22</v>
      </c>
      <c r="T150" s="40" t="s">
        <v>22</v>
      </c>
      <c r="U150" s="33">
        <v>20</v>
      </c>
      <c r="V150" s="33">
        <v>21</v>
      </c>
      <c r="W150" s="34">
        <v>22</v>
      </c>
      <c r="X150" s="34">
        <v>23</v>
      </c>
      <c r="Y150" s="33">
        <v>24</v>
      </c>
      <c r="Z150" s="33">
        <v>25</v>
      </c>
      <c r="AA150" s="33">
        <v>26</v>
      </c>
      <c r="AB150" s="33">
        <v>27</v>
      </c>
      <c r="AC150" s="33">
        <v>28</v>
      </c>
      <c r="AD150" s="34">
        <v>29</v>
      </c>
      <c r="AE150" s="34">
        <v>30</v>
      </c>
      <c r="AF150" s="33">
        <v>31</v>
      </c>
      <c r="AG150" s="57">
        <f t="shared" si="9"/>
        <v>13</v>
      </c>
      <c r="AH150" s="15"/>
      <c r="AI150" s="9"/>
      <c r="AJ150" s="9"/>
      <c r="AK150" s="9"/>
      <c r="AL150" s="9"/>
      <c r="AM150" s="9"/>
      <c r="AN150" s="9"/>
    </row>
    <row r="151" spans="1:40" s="8" customFormat="1" ht="17.100000000000001" customHeight="1" x14ac:dyDescent="0.3">
      <c r="A151" s="29" t="s">
        <v>19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57"/>
      <c r="AH151" s="15"/>
      <c r="AI151" s="9"/>
      <c r="AJ151" s="9"/>
      <c r="AK151" s="9"/>
      <c r="AL151" s="9"/>
      <c r="AM151" s="9"/>
      <c r="AN151" s="9"/>
    </row>
    <row r="152" spans="1:40" s="8" customFormat="1" ht="17.100000000000001" customHeight="1" x14ac:dyDescent="0.3">
      <c r="A152" s="27" t="s">
        <v>18</v>
      </c>
      <c r="B152" s="34">
        <v>1</v>
      </c>
      <c r="C152" s="34">
        <v>2</v>
      </c>
      <c r="D152" s="33">
        <v>3</v>
      </c>
      <c r="E152" s="33">
        <v>4</v>
      </c>
      <c r="F152" s="33">
        <v>5</v>
      </c>
      <c r="G152" s="33">
        <v>6</v>
      </c>
      <c r="H152" s="33">
        <v>7</v>
      </c>
      <c r="I152" s="34">
        <v>8</v>
      </c>
      <c r="J152" s="34">
        <v>9</v>
      </c>
      <c r="K152" s="33">
        <v>10</v>
      </c>
      <c r="L152" s="33">
        <v>11</v>
      </c>
      <c r="M152" s="33">
        <v>12</v>
      </c>
      <c r="N152" s="33">
        <v>13</v>
      </c>
      <c r="O152" s="33">
        <v>14</v>
      </c>
      <c r="P152" s="34">
        <v>15</v>
      </c>
      <c r="Q152" s="34">
        <v>16</v>
      </c>
      <c r="R152" s="33">
        <v>17</v>
      </c>
      <c r="S152" s="33">
        <v>18</v>
      </c>
      <c r="T152" s="33">
        <v>19</v>
      </c>
      <c r="U152" s="33">
        <v>20</v>
      </c>
      <c r="V152" s="33">
        <v>21</v>
      </c>
      <c r="W152" s="34">
        <v>22</v>
      </c>
      <c r="X152" s="34">
        <v>23</v>
      </c>
      <c r="Y152" s="33">
        <v>24</v>
      </c>
      <c r="Z152" s="33">
        <v>25</v>
      </c>
      <c r="AA152" s="33">
        <v>26</v>
      </c>
      <c r="AB152" s="33">
        <v>27</v>
      </c>
      <c r="AC152" s="33">
        <v>28</v>
      </c>
      <c r="AD152" s="34">
        <v>29</v>
      </c>
      <c r="AE152" s="34">
        <v>30</v>
      </c>
      <c r="AF152" s="33">
        <v>31</v>
      </c>
      <c r="AG152" s="57">
        <f t="shared" si="9"/>
        <v>0</v>
      </c>
      <c r="AH152" s="15"/>
      <c r="AI152" s="9"/>
      <c r="AJ152" s="9"/>
      <c r="AK152" s="9"/>
      <c r="AL152" s="9"/>
      <c r="AM152" s="9"/>
      <c r="AN152" s="9"/>
    </row>
    <row r="153" spans="1:40" s="8" customFormat="1" ht="17.100000000000001" customHeight="1" x14ac:dyDescent="0.3">
      <c r="A153" s="16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8"/>
      <c r="AH153" s="15"/>
      <c r="AI153" s="9"/>
      <c r="AJ153" s="9"/>
      <c r="AK153" s="9"/>
      <c r="AL153" s="9"/>
      <c r="AM153" s="9"/>
      <c r="AN153" s="9"/>
    </row>
    <row r="154" spans="1:40" s="8" customFormat="1" ht="17.100000000000001" customHeight="1" x14ac:dyDescent="0.3">
      <c r="A154" s="23">
        <v>46266</v>
      </c>
      <c r="B154" s="62" t="s">
        <v>1</v>
      </c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15"/>
      <c r="AI154" s="9"/>
      <c r="AJ154" s="9"/>
      <c r="AK154" s="9"/>
      <c r="AL154" s="9"/>
      <c r="AM154" s="9"/>
      <c r="AN154" s="9"/>
    </row>
    <row r="155" spans="1:40" s="8" customFormat="1" ht="17.100000000000001" customHeight="1" x14ac:dyDescent="0.3">
      <c r="A155" s="13" t="s">
        <v>2</v>
      </c>
      <c r="B155" s="32" t="s">
        <v>6</v>
      </c>
      <c r="C155" s="32" t="s">
        <v>5</v>
      </c>
      <c r="D155" s="32" t="s">
        <v>6</v>
      </c>
      <c r="E155" s="32" t="s">
        <v>3</v>
      </c>
      <c r="F155" s="32" t="s">
        <v>4</v>
      </c>
      <c r="G155" s="32" t="s">
        <v>4</v>
      </c>
      <c r="H155" s="32" t="s">
        <v>5</v>
      </c>
      <c r="I155" s="32" t="s">
        <v>6</v>
      </c>
      <c r="J155" s="32" t="s">
        <v>5</v>
      </c>
      <c r="K155" s="32" t="s">
        <v>6</v>
      </c>
      <c r="L155" s="32" t="s">
        <v>3</v>
      </c>
      <c r="M155" s="32" t="s">
        <v>4</v>
      </c>
      <c r="N155" s="32" t="s">
        <v>4</v>
      </c>
      <c r="O155" s="32" t="s">
        <v>5</v>
      </c>
      <c r="P155" s="32" t="s">
        <v>6</v>
      </c>
      <c r="Q155" s="32" t="s">
        <v>5</v>
      </c>
      <c r="R155" s="32" t="s">
        <v>6</v>
      </c>
      <c r="S155" s="32" t="s">
        <v>3</v>
      </c>
      <c r="T155" s="32" t="s">
        <v>4</v>
      </c>
      <c r="U155" s="32" t="s">
        <v>4</v>
      </c>
      <c r="V155" s="32" t="s">
        <v>5</v>
      </c>
      <c r="W155" s="32" t="s">
        <v>6</v>
      </c>
      <c r="X155" s="32" t="s">
        <v>5</v>
      </c>
      <c r="Y155" s="32" t="s">
        <v>6</v>
      </c>
      <c r="Z155" s="32" t="s">
        <v>3</v>
      </c>
      <c r="AA155" s="32" t="s">
        <v>4</v>
      </c>
      <c r="AB155" s="32" t="s">
        <v>4</v>
      </c>
      <c r="AC155" s="32" t="s">
        <v>5</v>
      </c>
      <c r="AD155" s="32" t="s">
        <v>6</v>
      </c>
      <c r="AE155" s="32" t="s">
        <v>5</v>
      </c>
      <c r="AF155" s="60" t="s">
        <v>7</v>
      </c>
      <c r="AG155" s="61"/>
      <c r="AH155" s="15"/>
      <c r="AI155" s="9"/>
      <c r="AJ155" s="9"/>
      <c r="AK155" s="9"/>
      <c r="AL155" s="9"/>
      <c r="AM155" s="9"/>
      <c r="AN155" s="9"/>
    </row>
    <row r="156" spans="1:40" s="8" customFormat="1" ht="17.100000000000001" customHeight="1" x14ac:dyDescent="0.3">
      <c r="A156" s="27" t="s">
        <v>8</v>
      </c>
      <c r="B156" s="33">
        <v>1</v>
      </c>
      <c r="C156" s="33">
        <v>2</v>
      </c>
      <c r="D156" s="38">
        <v>3</v>
      </c>
      <c r="E156" s="38" t="s">
        <v>22</v>
      </c>
      <c r="F156" s="38">
        <v>5</v>
      </c>
      <c r="G156" s="38">
        <v>6</v>
      </c>
      <c r="H156" s="38" t="s">
        <v>22</v>
      </c>
      <c r="I156" s="38" t="s">
        <v>22</v>
      </c>
      <c r="J156" s="38" t="s">
        <v>22</v>
      </c>
      <c r="K156" s="38" t="s">
        <v>22</v>
      </c>
      <c r="L156" s="38" t="s">
        <v>22</v>
      </c>
      <c r="M156" s="38">
        <v>12</v>
      </c>
      <c r="N156" s="38">
        <v>13</v>
      </c>
      <c r="O156" s="38" t="s">
        <v>22</v>
      </c>
      <c r="P156" s="38" t="s">
        <v>22</v>
      </c>
      <c r="Q156" s="38" t="s">
        <v>22</v>
      </c>
      <c r="R156" s="38" t="s">
        <v>22</v>
      </c>
      <c r="S156" s="38" t="s">
        <v>22</v>
      </c>
      <c r="T156" s="38">
        <v>19</v>
      </c>
      <c r="U156" s="38">
        <v>20</v>
      </c>
      <c r="V156" s="38" t="s">
        <v>22</v>
      </c>
      <c r="W156" s="38" t="s">
        <v>22</v>
      </c>
      <c r="X156" s="38" t="s">
        <v>22</v>
      </c>
      <c r="Y156" s="38" t="s">
        <v>22</v>
      </c>
      <c r="Z156" s="38" t="s">
        <v>22</v>
      </c>
      <c r="AA156" s="38">
        <v>26</v>
      </c>
      <c r="AB156" s="34">
        <v>27</v>
      </c>
      <c r="AC156" s="33">
        <v>28</v>
      </c>
      <c r="AD156" s="33">
        <v>29</v>
      </c>
      <c r="AE156" s="33">
        <v>30</v>
      </c>
      <c r="AF156" s="31"/>
      <c r="AG156" s="57">
        <f t="shared" ref="AG156:AG171" si="10">COUNTIF($B156:$AF156,"U")</f>
        <v>16</v>
      </c>
      <c r="AH156" s="15"/>
      <c r="AI156" s="9"/>
      <c r="AJ156" s="9"/>
      <c r="AK156" s="9"/>
      <c r="AL156" s="9"/>
      <c r="AM156" s="9"/>
      <c r="AN156" s="9"/>
    </row>
    <row r="157" spans="1:40" s="8" customFormat="1" ht="17.100000000000001" customHeight="1" x14ac:dyDescent="0.3">
      <c r="A157" s="28" t="s">
        <v>14</v>
      </c>
      <c r="B157" s="46">
        <v>1</v>
      </c>
      <c r="C157" s="46">
        <v>2</v>
      </c>
      <c r="D157" s="46">
        <v>3</v>
      </c>
      <c r="E157" s="46">
        <v>4</v>
      </c>
      <c r="F157" s="46">
        <v>5</v>
      </c>
      <c r="G157" s="46">
        <v>6</v>
      </c>
      <c r="H157" s="46">
        <v>7</v>
      </c>
      <c r="I157" s="46">
        <v>8</v>
      </c>
      <c r="J157" s="46">
        <v>9</v>
      </c>
      <c r="K157" s="46">
        <v>10</v>
      </c>
      <c r="L157" s="46">
        <v>11</v>
      </c>
      <c r="M157" s="46">
        <v>12</v>
      </c>
      <c r="N157" s="46">
        <v>13</v>
      </c>
      <c r="O157" s="46">
        <v>14</v>
      </c>
      <c r="P157" s="46">
        <v>15</v>
      </c>
      <c r="Q157" s="46">
        <v>16</v>
      </c>
      <c r="R157" s="46">
        <v>17</v>
      </c>
      <c r="S157" s="46">
        <v>18</v>
      </c>
      <c r="T157" s="46">
        <v>19</v>
      </c>
      <c r="U157" s="46">
        <v>20</v>
      </c>
      <c r="V157" s="46">
        <v>21</v>
      </c>
      <c r="W157" s="46">
        <v>22</v>
      </c>
      <c r="X157" s="46">
        <v>23</v>
      </c>
      <c r="Y157" s="46">
        <v>24</v>
      </c>
      <c r="Z157" s="46">
        <v>25</v>
      </c>
      <c r="AA157" s="46">
        <v>26</v>
      </c>
      <c r="AB157" s="46">
        <v>27</v>
      </c>
      <c r="AC157" s="46">
        <v>28</v>
      </c>
      <c r="AD157" s="46">
        <v>29</v>
      </c>
      <c r="AE157" s="46" t="s">
        <v>22</v>
      </c>
      <c r="AF157" s="31"/>
      <c r="AG157" s="57">
        <f t="shared" si="10"/>
        <v>1</v>
      </c>
      <c r="AH157" s="15"/>
      <c r="AI157" s="9"/>
      <c r="AJ157" s="9"/>
      <c r="AK157" s="9"/>
      <c r="AL157" s="9"/>
      <c r="AM157" s="9"/>
      <c r="AN157" s="9"/>
    </row>
    <row r="158" spans="1:40" s="8" customFormat="1" ht="17.100000000000001" customHeight="1" x14ac:dyDescent="0.3">
      <c r="A158" s="27" t="s">
        <v>9</v>
      </c>
      <c r="B158" s="33">
        <v>1</v>
      </c>
      <c r="C158" s="33">
        <v>2</v>
      </c>
      <c r="D158" s="33">
        <v>3</v>
      </c>
      <c r="E158" s="33">
        <v>4</v>
      </c>
      <c r="F158" s="34">
        <v>5</v>
      </c>
      <c r="G158" s="34">
        <v>6</v>
      </c>
      <c r="H158" s="33">
        <v>7</v>
      </c>
      <c r="I158" s="33">
        <v>8</v>
      </c>
      <c r="J158" s="33">
        <v>9</v>
      </c>
      <c r="K158" s="33">
        <v>10</v>
      </c>
      <c r="L158" s="33">
        <v>11</v>
      </c>
      <c r="M158" s="34">
        <v>12</v>
      </c>
      <c r="N158" s="34">
        <v>13</v>
      </c>
      <c r="O158" s="33">
        <v>14</v>
      </c>
      <c r="P158" s="33">
        <v>15</v>
      </c>
      <c r="Q158" s="33">
        <v>16</v>
      </c>
      <c r="R158" s="33">
        <v>17</v>
      </c>
      <c r="S158" s="33">
        <v>18</v>
      </c>
      <c r="T158" s="34">
        <v>19</v>
      </c>
      <c r="U158" s="34">
        <v>20</v>
      </c>
      <c r="V158" s="33">
        <v>21</v>
      </c>
      <c r="W158" s="33">
        <v>22</v>
      </c>
      <c r="X158" s="33">
        <v>23</v>
      </c>
      <c r="Y158" s="33">
        <v>24</v>
      </c>
      <c r="Z158" s="33">
        <v>25</v>
      </c>
      <c r="AA158" s="34">
        <v>26</v>
      </c>
      <c r="AB158" s="34">
        <v>27</v>
      </c>
      <c r="AC158" s="33">
        <v>28</v>
      </c>
      <c r="AD158" s="33">
        <v>29</v>
      </c>
      <c r="AE158" s="33">
        <v>30</v>
      </c>
      <c r="AF158" s="31"/>
      <c r="AG158" s="57">
        <f t="shared" si="10"/>
        <v>0</v>
      </c>
      <c r="AH158" s="15"/>
      <c r="AI158" s="33"/>
      <c r="AJ158" s="9"/>
      <c r="AK158" s="9"/>
      <c r="AL158" s="9"/>
      <c r="AM158" s="9"/>
      <c r="AN158" s="9"/>
    </row>
    <row r="159" spans="1:40" s="8" customFormat="1" ht="17.100000000000001" customHeight="1" x14ac:dyDescent="0.3">
      <c r="A159" s="28" t="s">
        <v>10</v>
      </c>
      <c r="B159" s="33">
        <v>1</v>
      </c>
      <c r="C159" s="33">
        <v>2</v>
      </c>
      <c r="D159" s="33">
        <v>3</v>
      </c>
      <c r="E159" s="33">
        <v>4</v>
      </c>
      <c r="F159" s="34">
        <v>5</v>
      </c>
      <c r="G159" s="34">
        <v>6</v>
      </c>
      <c r="H159" s="33">
        <v>7</v>
      </c>
      <c r="I159" s="33">
        <v>8</v>
      </c>
      <c r="J159" s="33">
        <v>9</v>
      </c>
      <c r="K159" s="33">
        <v>10</v>
      </c>
      <c r="L159" s="33">
        <v>11</v>
      </c>
      <c r="M159" s="34">
        <v>12</v>
      </c>
      <c r="N159" s="34">
        <v>13</v>
      </c>
      <c r="O159" s="33">
        <v>14</v>
      </c>
      <c r="P159" s="33">
        <v>15</v>
      </c>
      <c r="Q159" s="33">
        <v>16</v>
      </c>
      <c r="R159" s="33">
        <v>17</v>
      </c>
      <c r="S159" s="33">
        <v>18</v>
      </c>
      <c r="T159" s="34">
        <v>19</v>
      </c>
      <c r="U159" s="34">
        <v>20</v>
      </c>
      <c r="V159" s="33">
        <v>21</v>
      </c>
      <c r="W159" s="33">
        <v>22</v>
      </c>
      <c r="X159" s="33">
        <v>23</v>
      </c>
      <c r="Y159" s="33">
        <v>24</v>
      </c>
      <c r="Z159" s="33">
        <v>25</v>
      </c>
      <c r="AA159" s="34">
        <v>26</v>
      </c>
      <c r="AB159" s="34">
        <v>27</v>
      </c>
      <c r="AC159" s="33">
        <v>28</v>
      </c>
      <c r="AD159" s="33">
        <v>29</v>
      </c>
      <c r="AE159" s="33">
        <v>30</v>
      </c>
      <c r="AF159" s="31"/>
      <c r="AG159" s="57">
        <f t="shared" si="10"/>
        <v>0</v>
      </c>
      <c r="AH159" s="15"/>
      <c r="AI159" s="9"/>
      <c r="AJ159" s="9"/>
      <c r="AK159" s="12"/>
      <c r="AL159" s="12"/>
      <c r="AM159" s="9"/>
      <c r="AN159" s="9"/>
    </row>
    <row r="160" spans="1:40" s="8" customFormat="1" ht="17.100000000000001" customHeight="1" x14ac:dyDescent="0.3">
      <c r="A160" s="27" t="s">
        <v>15</v>
      </c>
      <c r="B160" s="33">
        <v>1</v>
      </c>
      <c r="C160" s="33">
        <v>2</v>
      </c>
      <c r="D160" s="33">
        <v>3</v>
      </c>
      <c r="E160" s="33">
        <v>4</v>
      </c>
      <c r="F160" s="34">
        <v>5</v>
      </c>
      <c r="G160" s="34">
        <v>6</v>
      </c>
      <c r="H160" s="33">
        <v>7</v>
      </c>
      <c r="I160" s="33">
        <v>8</v>
      </c>
      <c r="J160" s="33">
        <v>9</v>
      </c>
      <c r="K160" s="33">
        <v>10</v>
      </c>
      <c r="L160" s="33">
        <v>11</v>
      </c>
      <c r="M160" s="34">
        <v>12</v>
      </c>
      <c r="N160" s="34">
        <v>13</v>
      </c>
      <c r="O160" s="33">
        <v>14</v>
      </c>
      <c r="P160" s="33">
        <v>15</v>
      </c>
      <c r="Q160" s="33">
        <v>16</v>
      </c>
      <c r="R160" s="33">
        <v>17</v>
      </c>
      <c r="S160" s="33">
        <v>18</v>
      </c>
      <c r="T160" s="34">
        <v>19</v>
      </c>
      <c r="U160" s="34">
        <v>20</v>
      </c>
      <c r="V160" s="33">
        <v>21</v>
      </c>
      <c r="W160" s="33">
        <v>22</v>
      </c>
      <c r="X160" s="33">
        <v>23</v>
      </c>
      <c r="Y160" s="33">
        <v>24</v>
      </c>
      <c r="Z160" s="33">
        <v>25</v>
      </c>
      <c r="AA160" s="34">
        <v>26</v>
      </c>
      <c r="AB160" s="34">
        <v>27</v>
      </c>
      <c r="AC160" s="33">
        <v>28</v>
      </c>
      <c r="AD160" s="33">
        <v>29</v>
      </c>
      <c r="AE160" s="33">
        <v>30</v>
      </c>
      <c r="AF160" s="31"/>
      <c r="AG160" s="57">
        <f>COUNTIF($B160:$AF160,"U")</f>
        <v>0</v>
      </c>
      <c r="AH160" s="15"/>
      <c r="AI160" s="9"/>
      <c r="AJ160" s="9"/>
      <c r="AK160" s="9"/>
      <c r="AL160" s="9"/>
      <c r="AM160" s="9"/>
      <c r="AN160" s="9"/>
    </row>
    <row r="161" spans="1:40" ht="17.100000000000001" customHeight="1" x14ac:dyDescent="0.25">
      <c r="A161" s="28" t="s">
        <v>29</v>
      </c>
      <c r="B161" s="33">
        <v>1</v>
      </c>
      <c r="C161" s="33">
        <v>2</v>
      </c>
      <c r="D161" s="33">
        <v>3</v>
      </c>
      <c r="E161" s="33">
        <v>4</v>
      </c>
      <c r="F161" s="34">
        <v>5</v>
      </c>
      <c r="G161" s="34">
        <v>6</v>
      </c>
      <c r="H161" s="33">
        <v>7</v>
      </c>
      <c r="I161" s="33">
        <v>8</v>
      </c>
      <c r="J161" s="33">
        <v>9</v>
      </c>
      <c r="K161" s="33">
        <v>10</v>
      </c>
      <c r="L161" s="33">
        <v>11</v>
      </c>
      <c r="M161" s="34">
        <v>12</v>
      </c>
      <c r="N161" s="34">
        <v>13</v>
      </c>
      <c r="O161" s="33">
        <v>14</v>
      </c>
      <c r="P161" s="33">
        <v>15</v>
      </c>
      <c r="Q161" s="33">
        <v>16</v>
      </c>
      <c r="R161" s="33">
        <v>17</v>
      </c>
      <c r="S161" s="33">
        <v>18</v>
      </c>
      <c r="T161" s="34">
        <v>19</v>
      </c>
      <c r="U161" s="34">
        <v>20</v>
      </c>
      <c r="V161" s="33">
        <v>21</v>
      </c>
      <c r="W161" s="33">
        <v>22</v>
      </c>
      <c r="X161" s="33">
        <v>23</v>
      </c>
      <c r="Y161" s="33">
        <v>24</v>
      </c>
      <c r="Z161" s="33">
        <v>25</v>
      </c>
      <c r="AA161" s="34">
        <v>26</v>
      </c>
      <c r="AB161" s="34">
        <v>27</v>
      </c>
      <c r="AC161" s="33">
        <v>28</v>
      </c>
      <c r="AD161" s="33">
        <v>29</v>
      </c>
      <c r="AE161" s="33">
        <v>30</v>
      </c>
      <c r="AF161" s="31"/>
      <c r="AG161" s="57">
        <f t="shared" si="10"/>
        <v>0</v>
      </c>
      <c r="AH161" s="15"/>
      <c r="AI161" s="9"/>
      <c r="AJ161" s="9"/>
      <c r="AK161" s="9"/>
      <c r="AL161" s="9"/>
      <c r="AM161" s="9"/>
      <c r="AN161" s="9"/>
    </row>
    <row r="162" spans="1:40" s="7" customFormat="1" ht="20.100000000000001" customHeight="1" x14ac:dyDescent="0.25">
      <c r="A162" s="29" t="s">
        <v>21</v>
      </c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1"/>
      <c r="AG162" s="57"/>
      <c r="AH162" s="11"/>
      <c r="AI162" s="12"/>
      <c r="AJ162" s="12"/>
      <c r="AK162" s="9"/>
      <c r="AL162" s="9"/>
      <c r="AM162" s="12"/>
      <c r="AN162" s="12"/>
    </row>
    <row r="163" spans="1:40" s="8" customFormat="1" ht="17.100000000000001" customHeight="1" x14ac:dyDescent="0.3">
      <c r="A163" s="30" t="s">
        <v>28</v>
      </c>
      <c r="B163" s="33">
        <v>1</v>
      </c>
      <c r="C163" s="33">
        <v>2</v>
      </c>
      <c r="D163" s="33">
        <v>3</v>
      </c>
      <c r="E163" s="33">
        <v>4</v>
      </c>
      <c r="F163" s="34">
        <v>5</v>
      </c>
      <c r="G163" s="34">
        <v>6</v>
      </c>
      <c r="H163" s="33">
        <v>7</v>
      </c>
      <c r="I163" s="33">
        <v>8</v>
      </c>
      <c r="J163" s="33">
        <v>9</v>
      </c>
      <c r="K163" s="33">
        <v>10</v>
      </c>
      <c r="L163" s="33">
        <v>11</v>
      </c>
      <c r="M163" s="34">
        <v>12</v>
      </c>
      <c r="N163" s="34">
        <v>13</v>
      </c>
      <c r="O163" s="33">
        <v>14</v>
      </c>
      <c r="P163" s="33">
        <v>15</v>
      </c>
      <c r="Q163" s="33">
        <v>16</v>
      </c>
      <c r="R163" s="33">
        <v>17</v>
      </c>
      <c r="S163" s="33">
        <v>18</v>
      </c>
      <c r="T163" s="34">
        <v>19</v>
      </c>
      <c r="U163" s="34">
        <v>20</v>
      </c>
      <c r="V163" s="33">
        <v>21</v>
      </c>
      <c r="W163" s="33">
        <v>22</v>
      </c>
      <c r="X163" s="33">
        <v>23</v>
      </c>
      <c r="Y163" s="33">
        <v>24</v>
      </c>
      <c r="Z163" s="33">
        <v>25</v>
      </c>
      <c r="AA163" s="34">
        <v>26</v>
      </c>
      <c r="AB163" s="34">
        <v>27</v>
      </c>
      <c r="AC163" s="33">
        <v>28</v>
      </c>
      <c r="AD163" s="33">
        <v>29</v>
      </c>
      <c r="AE163" s="33">
        <v>30</v>
      </c>
      <c r="AF163" s="31"/>
      <c r="AG163" s="57">
        <f t="shared" si="10"/>
        <v>0</v>
      </c>
      <c r="AH163" s="15"/>
      <c r="AI163" s="9"/>
      <c r="AJ163" s="9"/>
      <c r="AK163" s="9"/>
      <c r="AL163" s="9"/>
      <c r="AM163" s="9"/>
      <c r="AN163" s="9"/>
    </row>
    <row r="164" spans="1:40" s="8" customFormat="1" ht="17.100000000000001" customHeight="1" x14ac:dyDescent="0.3">
      <c r="A164" s="27" t="s">
        <v>17</v>
      </c>
      <c r="B164" s="33">
        <v>1</v>
      </c>
      <c r="C164" s="33">
        <v>2</v>
      </c>
      <c r="D164" s="33">
        <v>3</v>
      </c>
      <c r="E164" s="33">
        <v>4</v>
      </c>
      <c r="F164" s="34">
        <v>5</v>
      </c>
      <c r="G164" s="34">
        <v>6</v>
      </c>
      <c r="H164" s="33">
        <v>7</v>
      </c>
      <c r="I164" s="33">
        <v>8</v>
      </c>
      <c r="J164" s="33">
        <v>9</v>
      </c>
      <c r="K164" s="33">
        <v>10</v>
      </c>
      <c r="L164" s="33">
        <v>11</v>
      </c>
      <c r="M164" s="34">
        <v>12</v>
      </c>
      <c r="N164" s="34">
        <v>13</v>
      </c>
      <c r="O164" s="33">
        <v>14</v>
      </c>
      <c r="P164" s="33">
        <v>15</v>
      </c>
      <c r="Q164" s="33">
        <v>16</v>
      </c>
      <c r="R164" s="33">
        <v>17</v>
      </c>
      <c r="S164" s="33">
        <v>18</v>
      </c>
      <c r="T164" s="34">
        <v>19</v>
      </c>
      <c r="U164" s="34">
        <v>20</v>
      </c>
      <c r="V164" s="33">
        <v>21</v>
      </c>
      <c r="W164" s="33">
        <v>22</v>
      </c>
      <c r="X164" s="33">
        <v>23</v>
      </c>
      <c r="Y164" s="33">
        <v>24</v>
      </c>
      <c r="Z164" s="33">
        <v>25</v>
      </c>
      <c r="AA164" s="34">
        <v>26</v>
      </c>
      <c r="AB164" s="34">
        <v>27</v>
      </c>
      <c r="AC164" s="33">
        <v>28</v>
      </c>
      <c r="AD164" s="33">
        <v>29</v>
      </c>
      <c r="AE164" s="33">
        <v>30</v>
      </c>
      <c r="AF164" s="31"/>
      <c r="AG164" s="57">
        <f t="shared" si="10"/>
        <v>0</v>
      </c>
      <c r="AH164" s="15"/>
      <c r="AI164" s="9"/>
      <c r="AJ164" s="9"/>
      <c r="AK164" s="9"/>
      <c r="AL164" s="9"/>
      <c r="AM164" s="9"/>
      <c r="AN164" s="9"/>
    </row>
    <row r="165" spans="1:40" s="8" customFormat="1" ht="17.100000000000001" customHeight="1" x14ac:dyDescent="0.3">
      <c r="A165" s="30" t="s">
        <v>16</v>
      </c>
      <c r="B165" s="33">
        <v>1</v>
      </c>
      <c r="C165" s="33">
        <v>2</v>
      </c>
      <c r="D165" s="33">
        <v>3</v>
      </c>
      <c r="E165" s="33">
        <v>4</v>
      </c>
      <c r="F165" s="34">
        <v>5</v>
      </c>
      <c r="G165" s="34">
        <v>6</v>
      </c>
      <c r="H165" s="33">
        <v>7</v>
      </c>
      <c r="I165" s="33">
        <v>8</v>
      </c>
      <c r="J165" s="33">
        <v>9</v>
      </c>
      <c r="K165" s="33">
        <v>10</v>
      </c>
      <c r="L165" s="33">
        <v>11</v>
      </c>
      <c r="M165" s="34">
        <v>12</v>
      </c>
      <c r="N165" s="34">
        <v>13</v>
      </c>
      <c r="O165" s="33">
        <v>14</v>
      </c>
      <c r="P165" s="33">
        <v>15</v>
      </c>
      <c r="Q165" s="33">
        <v>16</v>
      </c>
      <c r="R165" s="33">
        <v>17</v>
      </c>
      <c r="S165" s="33">
        <v>18</v>
      </c>
      <c r="T165" s="34">
        <v>19</v>
      </c>
      <c r="U165" s="34">
        <v>20</v>
      </c>
      <c r="V165" s="33">
        <v>21</v>
      </c>
      <c r="W165" s="33">
        <v>22</v>
      </c>
      <c r="X165" s="33">
        <v>23</v>
      </c>
      <c r="Y165" s="33">
        <v>24</v>
      </c>
      <c r="Z165" s="33">
        <v>25</v>
      </c>
      <c r="AA165" s="34">
        <v>26</v>
      </c>
      <c r="AB165" s="34">
        <v>27</v>
      </c>
      <c r="AC165" s="33">
        <v>28</v>
      </c>
      <c r="AD165" s="33">
        <v>29</v>
      </c>
      <c r="AE165" s="33">
        <v>30</v>
      </c>
      <c r="AF165" s="31"/>
      <c r="AG165" s="57">
        <f t="shared" si="10"/>
        <v>0</v>
      </c>
      <c r="AH165" s="15"/>
      <c r="AI165" s="9"/>
      <c r="AJ165" s="9"/>
      <c r="AK165" s="9"/>
      <c r="AL165" s="9"/>
      <c r="AM165" s="9"/>
      <c r="AN165" s="9"/>
    </row>
    <row r="166" spans="1:40" s="8" customFormat="1" ht="17.100000000000001" customHeight="1" x14ac:dyDescent="0.3">
      <c r="A166" s="29" t="s">
        <v>20</v>
      </c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1"/>
      <c r="AG166" s="57"/>
      <c r="AH166" s="15"/>
      <c r="AI166" s="9"/>
      <c r="AJ166" s="9"/>
      <c r="AK166" s="9"/>
      <c r="AL166" s="9"/>
      <c r="AM166" s="9"/>
      <c r="AN166" s="9"/>
    </row>
    <row r="167" spans="1:40" s="8" customFormat="1" ht="17.100000000000001" customHeight="1" x14ac:dyDescent="0.3">
      <c r="A167" s="27" t="s">
        <v>11</v>
      </c>
      <c r="B167" s="33">
        <v>1</v>
      </c>
      <c r="C167" s="33">
        <v>2</v>
      </c>
      <c r="D167" s="33">
        <v>3</v>
      </c>
      <c r="E167" s="33">
        <v>4</v>
      </c>
      <c r="F167" s="34">
        <v>5</v>
      </c>
      <c r="G167" s="34">
        <v>6</v>
      </c>
      <c r="H167" s="33">
        <v>7</v>
      </c>
      <c r="I167" s="33">
        <v>8</v>
      </c>
      <c r="J167" s="33">
        <v>9</v>
      </c>
      <c r="K167" s="33">
        <v>10</v>
      </c>
      <c r="L167" s="33">
        <v>11</v>
      </c>
      <c r="M167" s="34">
        <v>12</v>
      </c>
      <c r="N167" s="34">
        <v>13</v>
      </c>
      <c r="O167" s="33">
        <v>14</v>
      </c>
      <c r="P167" s="33">
        <v>15</v>
      </c>
      <c r="Q167" s="33">
        <v>16</v>
      </c>
      <c r="R167" s="38" t="s">
        <v>22</v>
      </c>
      <c r="S167" s="38" t="s">
        <v>22</v>
      </c>
      <c r="T167" s="38">
        <v>19</v>
      </c>
      <c r="U167" s="38">
        <v>20</v>
      </c>
      <c r="V167" s="38" t="s">
        <v>22</v>
      </c>
      <c r="W167" s="38" t="s">
        <v>22</v>
      </c>
      <c r="X167" s="38" t="s">
        <v>22</v>
      </c>
      <c r="Y167" s="38" t="s">
        <v>22</v>
      </c>
      <c r="Z167" s="38" t="s">
        <v>22</v>
      </c>
      <c r="AA167" s="38">
        <v>26</v>
      </c>
      <c r="AB167" s="38">
        <v>27</v>
      </c>
      <c r="AC167" s="33">
        <v>28</v>
      </c>
      <c r="AD167" s="33">
        <v>29</v>
      </c>
      <c r="AE167" s="33">
        <v>30</v>
      </c>
      <c r="AF167" s="31"/>
      <c r="AG167" s="57">
        <f t="shared" si="10"/>
        <v>7</v>
      </c>
      <c r="AH167" s="15"/>
      <c r="AI167" s="9"/>
      <c r="AJ167" s="9"/>
      <c r="AK167" s="9"/>
      <c r="AL167" s="9"/>
      <c r="AM167" s="9"/>
      <c r="AN167" s="9"/>
    </row>
    <row r="168" spans="1:40" s="8" customFormat="1" ht="17.100000000000001" customHeight="1" x14ac:dyDescent="0.3">
      <c r="A168" s="28" t="s">
        <v>12</v>
      </c>
      <c r="B168" s="46" t="s">
        <v>22</v>
      </c>
      <c r="C168" s="46" t="s">
        <v>22</v>
      </c>
      <c r="D168" s="46" t="s">
        <v>22</v>
      </c>
      <c r="E168" s="46" t="s">
        <v>22</v>
      </c>
      <c r="F168" s="34">
        <v>5</v>
      </c>
      <c r="G168" s="34">
        <v>6</v>
      </c>
      <c r="H168" s="33">
        <v>7</v>
      </c>
      <c r="I168" s="33">
        <v>8</v>
      </c>
      <c r="J168" s="33">
        <v>9</v>
      </c>
      <c r="K168" s="33">
        <v>10</v>
      </c>
      <c r="L168" s="33">
        <v>11</v>
      </c>
      <c r="M168" s="34">
        <v>12</v>
      </c>
      <c r="N168" s="34">
        <v>13</v>
      </c>
      <c r="O168" s="33">
        <v>14</v>
      </c>
      <c r="P168" s="33">
        <v>15</v>
      </c>
      <c r="Q168" s="33">
        <v>16</v>
      </c>
      <c r="R168" s="33">
        <v>17</v>
      </c>
      <c r="S168" s="33">
        <v>18</v>
      </c>
      <c r="T168" s="34">
        <v>19</v>
      </c>
      <c r="U168" s="34">
        <v>20</v>
      </c>
      <c r="V168" s="33">
        <v>21</v>
      </c>
      <c r="W168" s="33">
        <v>22</v>
      </c>
      <c r="X168" s="33">
        <v>23</v>
      </c>
      <c r="Y168" s="33">
        <v>24</v>
      </c>
      <c r="Z168" s="33">
        <v>25</v>
      </c>
      <c r="AA168" s="34">
        <v>26</v>
      </c>
      <c r="AB168" s="34">
        <v>27</v>
      </c>
      <c r="AC168" s="33">
        <v>28</v>
      </c>
      <c r="AD168" s="33">
        <v>29</v>
      </c>
      <c r="AE168" s="33">
        <v>30</v>
      </c>
      <c r="AF168" s="31"/>
      <c r="AG168" s="57">
        <f t="shared" si="10"/>
        <v>4</v>
      </c>
      <c r="AH168" s="15"/>
      <c r="AI168" s="9"/>
      <c r="AJ168" s="9"/>
      <c r="AK168" s="9"/>
      <c r="AL168" s="9"/>
      <c r="AM168" s="9"/>
      <c r="AN168" s="9"/>
    </row>
    <row r="169" spans="1:40" s="8" customFormat="1" ht="17.100000000000001" customHeight="1" x14ac:dyDescent="0.3">
      <c r="A169" s="27" t="s">
        <v>13</v>
      </c>
      <c r="B169" s="33">
        <v>1</v>
      </c>
      <c r="C169" s="33">
        <v>2</v>
      </c>
      <c r="D169" s="33">
        <v>3</v>
      </c>
      <c r="E169" s="33">
        <v>4</v>
      </c>
      <c r="F169" s="34">
        <v>5</v>
      </c>
      <c r="G169" s="34">
        <v>6</v>
      </c>
      <c r="H169" s="33">
        <v>7</v>
      </c>
      <c r="I169" s="33">
        <v>8</v>
      </c>
      <c r="J169" s="33">
        <v>9</v>
      </c>
      <c r="K169" s="33">
        <v>10</v>
      </c>
      <c r="L169" s="33">
        <v>11</v>
      </c>
      <c r="M169" s="34">
        <v>12</v>
      </c>
      <c r="N169" s="34">
        <v>13</v>
      </c>
      <c r="O169" s="33">
        <v>14</v>
      </c>
      <c r="P169" s="33">
        <v>15</v>
      </c>
      <c r="Q169" s="33">
        <v>16</v>
      </c>
      <c r="R169" s="33">
        <v>17</v>
      </c>
      <c r="S169" s="33">
        <v>18</v>
      </c>
      <c r="T169" s="34">
        <v>19</v>
      </c>
      <c r="U169" s="34">
        <v>20</v>
      </c>
      <c r="V169" s="33">
        <v>21</v>
      </c>
      <c r="W169" s="33">
        <v>22</v>
      </c>
      <c r="X169" s="33">
        <v>23</v>
      </c>
      <c r="Y169" s="33">
        <v>24</v>
      </c>
      <c r="Z169" s="33">
        <v>25</v>
      </c>
      <c r="AA169" s="34">
        <v>26</v>
      </c>
      <c r="AB169" s="34">
        <v>27</v>
      </c>
      <c r="AC169" s="33">
        <v>28</v>
      </c>
      <c r="AD169" s="33">
        <v>29</v>
      </c>
      <c r="AE169" s="33">
        <v>30</v>
      </c>
      <c r="AF169" s="31"/>
      <c r="AG169" s="57">
        <f t="shared" si="10"/>
        <v>0</v>
      </c>
      <c r="AH169" s="15"/>
      <c r="AI169" s="9"/>
      <c r="AJ169" s="9"/>
      <c r="AK169" s="9"/>
      <c r="AL169" s="9"/>
      <c r="AM169" s="9"/>
      <c r="AN169" s="9"/>
    </row>
    <row r="170" spans="1:40" s="8" customFormat="1" ht="17.100000000000001" customHeight="1" x14ac:dyDescent="0.3">
      <c r="A170" s="29" t="s">
        <v>19</v>
      </c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1"/>
      <c r="AG170" s="57"/>
      <c r="AH170" s="15"/>
      <c r="AI170" s="9"/>
      <c r="AJ170" s="9"/>
      <c r="AK170" s="9"/>
      <c r="AL170" s="9"/>
      <c r="AM170" s="9"/>
      <c r="AN170" s="9"/>
    </row>
    <row r="171" spans="1:40" s="8" customFormat="1" ht="17.100000000000001" customHeight="1" x14ac:dyDescent="0.3">
      <c r="A171" s="27" t="s">
        <v>18</v>
      </c>
      <c r="B171" s="33">
        <v>1</v>
      </c>
      <c r="C171" s="33">
        <v>2</v>
      </c>
      <c r="D171" s="33">
        <v>3</v>
      </c>
      <c r="E171" s="33">
        <v>4</v>
      </c>
      <c r="F171" s="34">
        <v>5</v>
      </c>
      <c r="G171" s="34">
        <v>6</v>
      </c>
      <c r="H171" s="33">
        <v>7</v>
      </c>
      <c r="I171" s="33">
        <v>8</v>
      </c>
      <c r="J171" s="33">
        <v>9</v>
      </c>
      <c r="K171" s="33">
        <v>10</v>
      </c>
      <c r="L171" s="33">
        <v>11</v>
      </c>
      <c r="M171" s="34">
        <v>12</v>
      </c>
      <c r="N171" s="34">
        <v>13</v>
      </c>
      <c r="O171" s="33">
        <v>14</v>
      </c>
      <c r="P171" s="33">
        <v>15</v>
      </c>
      <c r="Q171" s="33">
        <v>16</v>
      </c>
      <c r="R171" s="33">
        <v>17</v>
      </c>
      <c r="S171" s="33">
        <v>18</v>
      </c>
      <c r="T171" s="34">
        <v>19</v>
      </c>
      <c r="U171" s="34">
        <v>20</v>
      </c>
      <c r="V171" s="33">
        <v>21</v>
      </c>
      <c r="W171" s="33">
        <v>22</v>
      </c>
      <c r="X171" s="33">
        <v>23</v>
      </c>
      <c r="Y171" s="33">
        <v>24</v>
      </c>
      <c r="Z171" s="33">
        <v>25</v>
      </c>
      <c r="AA171" s="34">
        <v>26</v>
      </c>
      <c r="AB171" s="34">
        <v>27</v>
      </c>
      <c r="AC171" s="33">
        <v>28</v>
      </c>
      <c r="AD171" s="33">
        <v>29</v>
      </c>
      <c r="AE171" s="33">
        <v>30</v>
      </c>
      <c r="AF171" s="31"/>
      <c r="AG171" s="57">
        <f t="shared" si="10"/>
        <v>0</v>
      </c>
      <c r="AH171" s="15"/>
      <c r="AI171" s="9"/>
      <c r="AJ171" s="9"/>
      <c r="AK171" s="9"/>
      <c r="AL171" s="9"/>
      <c r="AM171" s="9"/>
      <c r="AN171" s="9"/>
    </row>
    <row r="172" spans="1:40" s="8" customFormat="1" ht="17.100000000000001" customHeight="1" x14ac:dyDescent="0.3">
      <c r="A172" s="16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8"/>
      <c r="AH172" s="15"/>
      <c r="AI172" s="9"/>
      <c r="AJ172" s="9"/>
      <c r="AK172" s="9"/>
      <c r="AL172" s="9"/>
      <c r="AM172" s="9"/>
      <c r="AN172" s="9"/>
    </row>
    <row r="173" spans="1:40" s="8" customFormat="1" ht="17.100000000000001" customHeight="1" x14ac:dyDescent="0.3">
      <c r="A173" s="22">
        <v>46296</v>
      </c>
      <c r="B173" s="58" t="s">
        <v>1</v>
      </c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15"/>
      <c r="AI173" s="9"/>
      <c r="AJ173" s="9"/>
      <c r="AK173" s="9"/>
      <c r="AL173" s="9"/>
      <c r="AM173" s="9"/>
      <c r="AN173" s="9"/>
    </row>
    <row r="174" spans="1:40" s="8" customFormat="1" ht="17.100000000000001" customHeight="1" x14ac:dyDescent="0.3">
      <c r="A174" s="13" t="s">
        <v>2</v>
      </c>
      <c r="B174" s="32" t="s">
        <v>6</v>
      </c>
      <c r="C174" s="32" t="s">
        <v>3</v>
      </c>
      <c r="D174" s="32" t="s">
        <v>4</v>
      </c>
      <c r="E174" s="32" t="s">
        <v>4</v>
      </c>
      <c r="F174" s="32" t="s">
        <v>5</v>
      </c>
      <c r="G174" s="32" t="s">
        <v>6</v>
      </c>
      <c r="H174" s="32" t="s">
        <v>5</v>
      </c>
      <c r="I174" s="32" t="s">
        <v>6</v>
      </c>
      <c r="J174" s="32" t="s">
        <v>3</v>
      </c>
      <c r="K174" s="32" t="s">
        <v>4</v>
      </c>
      <c r="L174" s="32" t="s">
        <v>4</v>
      </c>
      <c r="M174" s="32" t="s">
        <v>5</v>
      </c>
      <c r="N174" s="32" t="s">
        <v>6</v>
      </c>
      <c r="O174" s="32" t="s">
        <v>5</v>
      </c>
      <c r="P174" s="32" t="s">
        <v>6</v>
      </c>
      <c r="Q174" s="32" t="s">
        <v>3</v>
      </c>
      <c r="R174" s="32" t="s">
        <v>4</v>
      </c>
      <c r="S174" s="32" t="s">
        <v>4</v>
      </c>
      <c r="T174" s="32" t="s">
        <v>5</v>
      </c>
      <c r="U174" s="32" t="s">
        <v>6</v>
      </c>
      <c r="V174" s="32" t="s">
        <v>5</v>
      </c>
      <c r="W174" s="32" t="s">
        <v>6</v>
      </c>
      <c r="X174" s="32" t="s">
        <v>3</v>
      </c>
      <c r="Y174" s="32" t="s">
        <v>4</v>
      </c>
      <c r="Z174" s="32" t="s">
        <v>4</v>
      </c>
      <c r="AA174" s="32" t="s">
        <v>5</v>
      </c>
      <c r="AB174" s="32" t="s">
        <v>6</v>
      </c>
      <c r="AC174" s="32" t="s">
        <v>5</v>
      </c>
      <c r="AD174" s="32" t="s">
        <v>6</v>
      </c>
      <c r="AE174" s="32" t="s">
        <v>3</v>
      </c>
      <c r="AF174" s="32" t="s">
        <v>4</v>
      </c>
      <c r="AG174" s="21" t="s">
        <v>7</v>
      </c>
      <c r="AH174" s="15"/>
      <c r="AI174" s="9"/>
      <c r="AJ174" s="9"/>
      <c r="AK174" s="9"/>
      <c r="AL174" s="9"/>
      <c r="AM174" s="9"/>
      <c r="AN174" s="9"/>
    </row>
    <row r="175" spans="1:40" s="8" customFormat="1" ht="17.100000000000001" customHeight="1" x14ac:dyDescent="0.3">
      <c r="A175" s="27" t="s">
        <v>8</v>
      </c>
      <c r="B175" s="33">
        <v>1</v>
      </c>
      <c r="C175" s="33">
        <v>2</v>
      </c>
      <c r="D175" s="34">
        <v>3</v>
      </c>
      <c r="E175" s="34">
        <v>4</v>
      </c>
      <c r="F175" s="33">
        <v>5</v>
      </c>
      <c r="G175" s="33">
        <v>6</v>
      </c>
      <c r="H175" s="33">
        <v>7</v>
      </c>
      <c r="I175" s="33">
        <v>8</v>
      </c>
      <c r="J175" s="33">
        <v>9</v>
      </c>
      <c r="K175" s="34">
        <v>10</v>
      </c>
      <c r="L175" s="34">
        <v>11</v>
      </c>
      <c r="M175" s="33">
        <v>12</v>
      </c>
      <c r="N175" s="33">
        <v>13</v>
      </c>
      <c r="O175" s="33">
        <v>14</v>
      </c>
      <c r="P175" s="33">
        <v>15</v>
      </c>
      <c r="Q175" s="33">
        <v>16</v>
      </c>
      <c r="R175" s="34">
        <v>17</v>
      </c>
      <c r="S175" s="34">
        <v>18</v>
      </c>
      <c r="T175" s="33">
        <v>19</v>
      </c>
      <c r="U175" s="33">
        <v>20</v>
      </c>
      <c r="V175" s="33">
        <v>21</v>
      </c>
      <c r="W175" s="33">
        <v>22</v>
      </c>
      <c r="X175" s="33">
        <v>23</v>
      </c>
      <c r="Y175" s="38">
        <v>24</v>
      </c>
      <c r="Z175" s="38">
        <v>25</v>
      </c>
      <c r="AA175" s="38" t="s">
        <v>30</v>
      </c>
      <c r="AB175" s="38" t="s">
        <v>30</v>
      </c>
      <c r="AC175" s="33">
        <v>28</v>
      </c>
      <c r="AD175" s="33">
        <v>29</v>
      </c>
      <c r="AE175" s="33">
        <v>30</v>
      </c>
      <c r="AF175" s="34">
        <v>31</v>
      </c>
      <c r="AG175" s="57">
        <f t="shared" ref="AG175:AG190" si="11">COUNTIF($B175:$AF175,"U")</f>
        <v>0</v>
      </c>
      <c r="AH175" s="15"/>
      <c r="AI175" s="9"/>
      <c r="AJ175" s="9"/>
      <c r="AK175" s="9"/>
      <c r="AL175" s="9"/>
      <c r="AM175" s="9"/>
      <c r="AN175" s="9"/>
    </row>
    <row r="176" spans="1:40" s="8" customFormat="1" ht="17.100000000000001" customHeight="1" x14ac:dyDescent="0.3">
      <c r="A176" s="28" t="s">
        <v>14</v>
      </c>
      <c r="B176" s="46" t="s">
        <v>22</v>
      </c>
      <c r="C176" s="46" t="s">
        <v>22</v>
      </c>
      <c r="D176" s="46">
        <v>3</v>
      </c>
      <c r="E176" s="46">
        <v>4</v>
      </c>
      <c r="F176" s="46" t="s">
        <v>22</v>
      </c>
      <c r="G176" s="46" t="s">
        <v>22</v>
      </c>
      <c r="H176" s="33">
        <v>7</v>
      </c>
      <c r="I176" s="33">
        <v>8</v>
      </c>
      <c r="J176" s="33">
        <v>9</v>
      </c>
      <c r="K176" s="34">
        <v>10</v>
      </c>
      <c r="L176" s="34">
        <v>11</v>
      </c>
      <c r="M176" s="33">
        <v>12</v>
      </c>
      <c r="N176" s="33">
        <v>13</v>
      </c>
      <c r="O176" s="33">
        <v>14</v>
      </c>
      <c r="P176" s="33">
        <v>15</v>
      </c>
      <c r="Q176" s="33">
        <v>16</v>
      </c>
      <c r="R176" s="34">
        <v>17</v>
      </c>
      <c r="S176" s="34">
        <v>18</v>
      </c>
      <c r="T176" s="33">
        <v>19</v>
      </c>
      <c r="U176" s="33">
        <v>20</v>
      </c>
      <c r="V176" s="33">
        <v>21</v>
      </c>
      <c r="W176" s="33">
        <v>22</v>
      </c>
      <c r="X176" s="33">
        <v>23</v>
      </c>
      <c r="Y176" s="34">
        <v>24</v>
      </c>
      <c r="Z176" s="34">
        <v>25</v>
      </c>
      <c r="AA176" s="33">
        <v>26</v>
      </c>
      <c r="AB176" s="33">
        <v>27</v>
      </c>
      <c r="AC176" s="33">
        <v>28</v>
      </c>
      <c r="AD176" s="33">
        <v>29</v>
      </c>
      <c r="AE176" s="33">
        <v>30</v>
      </c>
      <c r="AF176" s="34">
        <v>31</v>
      </c>
      <c r="AG176" s="57">
        <f t="shared" si="11"/>
        <v>4</v>
      </c>
      <c r="AH176" s="15"/>
      <c r="AI176" s="9"/>
      <c r="AJ176" s="9"/>
      <c r="AK176" s="9"/>
      <c r="AL176" s="9"/>
      <c r="AM176" s="9"/>
      <c r="AN176" s="9"/>
    </row>
    <row r="177" spans="1:40" s="8" customFormat="1" ht="17.100000000000001" customHeight="1" x14ac:dyDescent="0.3">
      <c r="A177" s="27" t="s">
        <v>9</v>
      </c>
      <c r="B177" s="33">
        <v>1</v>
      </c>
      <c r="C177" s="33">
        <v>2</v>
      </c>
      <c r="D177" s="34">
        <v>3</v>
      </c>
      <c r="E177" s="34">
        <v>4</v>
      </c>
      <c r="F177" s="33">
        <v>5</v>
      </c>
      <c r="G177" s="33">
        <v>6</v>
      </c>
      <c r="H177" s="33">
        <v>7</v>
      </c>
      <c r="I177" s="33">
        <v>8</v>
      </c>
      <c r="J177" s="33">
        <v>9</v>
      </c>
      <c r="K177" s="34">
        <v>10</v>
      </c>
      <c r="L177" s="34">
        <v>11</v>
      </c>
      <c r="M177" s="33">
        <v>12</v>
      </c>
      <c r="N177" s="33">
        <v>13</v>
      </c>
      <c r="O177" s="33">
        <v>14</v>
      </c>
      <c r="P177" s="33">
        <v>15</v>
      </c>
      <c r="Q177" s="33">
        <v>16</v>
      </c>
      <c r="R177" s="34">
        <v>17</v>
      </c>
      <c r="S177" s="34">
        <v>18</v>
      </c>
      <c r="T177" s="33">
        <v>19</v>
      </c>
      <c r="U177" s="33">
        <v>20</v>
      </c>
      <c r="V177" s="33">
        <v>21</v>
      </c>
      <c r="W177" s="33">
        <v>22</v>
      </c>
      <c r="X177" s="33">
        <v>23</v>
      </c>
      <c r="Y177" s="34">
        <v>24</v>
      </c>
      <c r="Z177" s="34">
        <v>25</v>
      </c>
      <c r="AA177" s="33">
        <v>26</v>
      </c>
      <c r="AB177" s="33">
        <v>27</v>
      </c>
      <c r="AC177" s="33">
        <v>28</v>
      </c>
      <c r="AD177" s="33">
        <v>29</v>
      </c>
      <c r="AE177" s="33">
        <v>30</v>
      </c>
      <c r="AF177" s="34">
        <v>31</v>
      </c>
      <c r="AG177" s="57">
        <f t="shared" si="11"/>
        <v>0</v>
      </c>
      <c r="AH177" s="15"/>
      <c r="AI177" s="9"/>
      <c r="AJ177" s="9"/>
      <c r="AK177" s="9"/>
      <c r="AL177" s="9"/>
      <c r="AM177" s="9"/>
      <c r="AN177" s="9"/>
    </row>
    <row r="178" spans="1:40" s="8" customFormat="1" ht="17.100000000000001" customHeight="1" x14ac:dyDescent="0.3">
      <c r="A178" s="28" t="s">
        <v>10</v>
      </c>
      <c r="B178" s="33">
        <v>1</v>
      </c>
      <c r="C178" s="33">
        <v>2</v>
      </c>
      <c r="D178" s="34">
        <v>3</v>
      </c>
      <c r="E178" s="34">
        <v>4</v>
      </c>
      <c r="F178" s="33">
        <v>5</v>
      </c>
      <c r="G178" s="33">
        <v>6</v>
      </c>
      <c r="H178" s="33">
        <v>7</v>
      </c>
      <c r="I178" s="33">
        <v>8</v>
      </c>
      <c r="J178" s="33">
        <v>9</v>
      </c>
      <c r="K178" s="34">
        <v>10</v>
      </c>
      <c r="L178" s="34">
        <v>11</v>
      </c>
      <c r="M178" s="33">
        <v>12</v>
      </c>
      <c r="N178" s="33">
        <v>13</v>
      </c>
      <c r="O178" s="33">
        <v>14</v>
      </c>
      <c r="P178" s="33">
        <v>15</v>
      </c>
      <c r="Q178" s="33">
        <v>16</v>
      </c>
      <c r="R178" s="34">
        <v>17</v>
      </c>
      <c r="S178" s="34">
        <v>18</v>
      </c>
      <c r="T178" s="33">
        <v>19</v>
      </c>
      <c r="U178" s="33">
        <v>20</v>
      </c>
      <c r="V178" s="33">
        <v>21</v>
      </c>
      <c r="W178" s="33">
        <v>22</v>
      </c>
      <c r="X178" s="33">
        <v>23</v>
      </c>
      <c r="Y178" s="34">
        <v>24</v>
      </c>
      <c r="Z178" s="34">
        <v>25</v>
      </c>
      <c r="AA178" s="33">
        <v>26</v>
      </c>
      <c r="AB178" s="33">
        <v>27</v>
      </c>
      <c r="AC178" s="33">
        <v>28</v>
      </c>
      <c r="AD178" s="33">
        <v>29</v>
      </c>
      <c r="AE178" s="33">
        <v>30</v>
      </c>
      <c r="AF178" s="34">
        <v>31</v>
      </c>
      <c r="AG178" s="57">
        <f t="shared" si="11"/>
        <v>0</v>
      </c>
      <c r="AH178" s="15"/>
      <c r="AI178" s="9"/>
      <c r="AJ178" s="9"/>
      <c r="AK178" s="9"/>
      <c r="AL178" s="9"/>
      <c r="AM178" s="9"/>
      <c r="AN178" s="9"/>
    </row>
    <row r="179" spans="1:40" s="8" customFormat="1" ht="17.100000000000001" customHeight="1" x14ac:dyDescent="0.3">
      <c r="A179" s="27" t="s">
        <v>15</v>
      </c>
      <c r="B179" s="33">
        <v>1</v>
      </c>
      <c r="C179" s="40" t="s">
        <v>22</v>
      </c>
      <c r="D179" s="40">
        <v>3</v>
      </c>
      <c r="E179" s="40">
        <v>4</v>
      </c>
      <c r="F179" s="40" t="s">
        <v>22</v>
      </c>
      <c r="G179" s="40" t="s">
        <v>22</v>
      </c>
      <c r="H179" s="33">
        <v>7</v>
      </c>
      <c r="I179" s="33">
        <v>8</v>
      </c>
      <c r="J179" s="33">
        <v>9</v>
      </c>
      <c r="K179" s="34">
        <v>10</v>
      </c>
      <c r="L179" s="34">
        <v>11</v>
      </c>
      <c r="M179" s="33">
        <v>12</v>
      </c>
      <c r="N179" s="33">
        <v>13</v>
      </c>
      <c r="O179" s="33">
        <v>14</v>
      </c>
      <c r="P179" s="33">
        <v>15</v>
      </c>
      <c r="Q179" s="33">
        <v>16</v>
      </c>
      <c r="R179" s="34">
        <v>17</v>
      </c>
      <c r="S179" s="34">
        <v>18</v>
      </c>
      <c r="T179" s="33">
        <v>19</v>
      </c>
      <c r="U179" s="33">
        <v>20</v>
      </c>
      <c r="V179" s="33">
        <v>21</v>
      </c>
      <c r="W179" s="33">
        <v>22</v>
      </c>
      <c r="X179" s="33">
        <v>23</v>
      </c>
      <c r="Y179" s="34">
        <v>24</v>
      </c>
      <c r="Z179" s="34">
        <v>25</v>
      </c>
      <c r="AA179" s="33">
        <v>26</v>
      </c>
      <c r="AB179" s="33">
        <v>27</v>
      </c>
      <c r="AC179" s="33">
        <v>28</v>
      </c>
      <c r="AD179" s="33">
        <v>29</v>
      </c>
      <c r="AE179" s="33">
        <v>30</v>
      </c>
      <c r="AF179" s="34">
        <v>31</v>
      </c>
      <c r="AG179" s="57">
        <f>COUNTIF($B179:$AF179,"U")</f>
        <v>3</v>
      </c>
      <c r="AH179" s="15"/>
      <c r="AI179" s="9"/>
      <c r="AJ179" s="9"/>
      <c r="AK179" s="12"/>
      <c r="AL179" s="12"/>
      <c r="AM179" s="9"/>
      <c r="AN179" s="9"/>
    </row>
    <row r="180" spans="1:40" s="8" customFormat="1" ht="17.100000000000001" customHeight="1" x14ac:dyDescent="0.3">
      <c r="A180" s="28" t="s">
        <v>29</v>
      </c>
      <c r="B180" s="33">
        <v>1</v>
      </c>
      <c r="C180" s="33">
        <v>2</v>
      </c>
      <c r="D180" s="34">
        <v>3</v>
      </c>
      <c r="E180" s="34">
        <v>4</v>
      </c>
      <c r="F180" s="33">
        <v>5</v>
      </c>
      <c r="G180" s="33">
        <v>6</v>
      </c>
      <c r="H180" s="33">
        <v>7</v>
      </c>
      <c r="I180" s="33">
        <v>8</v>
      </c>
      <c r="J180" s="33">
        <v>9</v>
      </c>
      <c r="K180" s="34">
        <v>10</v>
      </c>
      <c r="L180" s="34">
        <v>11</v>
      </c>
      <c r="M180" s="33">
        <v>12</v>
      </c>
      <c r="N180" s="33">
        <v>13</v>
      </c>
      <c r="O180" s="33">
        <v>14</v>
      </c>
      <c r="P180" s="33">
        <v>15</v>
      </c>
      <c r="Q180" s="33">
        <v>16</v>
      </c>
      <c r="R180" s="34">
        <v>17</v>
      </c>
      <c r="S180" s="34">
        <v>18</v>
      </c>
      <c r="T180" s="33">
        <v>19</v>
      </c>
      <c r="U180" s="33">
        <v>20</v>
      </c>
      <c r="V180" s="33">
        <v>21</v>
      </c>
      <c r="W180" s="33">
        <v>22</v>
      </c>
      <c r="X180" s="33">
        <v>23</v>
      </c>
      <c r="Y180" s="34">
        <v>24</v>
      </c>
      <c r="Z180" s="34">
        <v>25</v>
      </c>
      <c r="AA180" s="33">
        <v>26</v>
      </c>
      <c r="AB180" s="33">
        <v>27</v>
      </c>
      <c r="AC180" s="33">
        <v>28</v>
      </c>
      <c r="AD180" s="33">
        <v>29</v>
      </c>
      <c r="AE180" s="33">
        <v>30</v>
      </c>
      <c r="AF180" s="34">
        <v>31</v>
      </c>
      <c r="AG180" s="57">
        <f t="shared" si="11"/>
        <v>0</v>
      </c>
      <c r="AH180" s="15"/>
      <c r="AI180" s="9"/>
      <c r="AJ180" s="9"/>
      <c r="AK180" s="9"/>
      <c r="AL180" s="9"/>
      <c r="AM180" s="9"/>
      <c r="AN180" s="9"/>
    </row>
    <row r="181" spans="1:40" ht="17.100000000000001" customHeight="1" x14ac:dyDescent="0.25">
      <c r="A181" s="29" t="s">
        <v>21</v>
      </c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57"/>
      <c r="AH181" s="15"/>
      <c r="AI181" s="9"/>
      <c r="AJ181" s="9"/>
      <c r="AK181" s="9"/>
      <c r="AL181" s="9"/>
      <c r="AM181" s="9"/>
      <c r="AN181" s="9"/>
    </row>
    <row r="182" spans="1:40" s="7" customFormat="1" ht="20.100000000000001" customHeight="1" x14ac:dyDescent="0.25">
      <c r="A182" s="30" t="s">
        <v>28</v>
      </c>
      <c r="B182" s="33">
        <v>1</v>
      </c>
      <c r="C182" s="33">
        <v>2</v>
      </c>
      <c r="D182" s="34">
        <v>3</v>
      </c>
      <c r="E182" s="34">
        <v>4</v>
      </c>
      <c r="F182" s="33">
        <v>5</v>
      </c>
      <c r="G182" s="33">
        <v>6</v>
      </c>
      <c r="H182" s="33">
        <v>7</v>
      </c>
      <c r="I182" s="33">
        <v>8</v>
      </c>
      <c r="J182" s="33">
        <v>9</v>
      </c>
      <c r="K182" s="34">
        <v>10</v>
      </c>
      <c r="L182" s="34">
        <v>11</v>
      </c>
      <c r="M182" s="33">
        <v>12</v>
      </c>
      <c r="N182" s="33">
        <v>13</v>
      </c>
      <c r="O182" s="33">
        <v>14</v>
      </c>
      <c r="P182" s="33">
        <v>15</v>
      </c>
      <c r="Q182" s="33">
        <v>16</v>
      </c>
      <c r="R182" s="34">
        <v>17</v>
      </c>
      <c r="S182" s="34">
        <v>18</v>
      </c>
      <c r="T182" s="33">
        <v>19</v>
      </c>
      <c r="U182" s="33">
        <v>20</v>
      </c>
      <c r="V182" s="33">
        <v>21</v>
      </c>
      <c r="W182" s="33">
        <v>22</v>
      </c>
      <c r="X182" s="33">
        <v>23</v>
      </c>
      <c r="Y182" s="34">
        <v>24</v>
      </c>
      <c r="Z182" s="34">
        <v>25</v>
      </c>
      <c r="AA182" s="33">
        <v>26</v>
      </c>
      <c r="AB182" s="33">
        <v>27</v>
      </c>
      <c r="AC182" s="33">
        <v>28</v>
      </c>
      <c r="AD182" s="33">
        <v>29</v>
      </c>
      <c r="AE182" s="33">
        <v>30</v>
      </c>
      <c r="AF182" s="34">
        <v>31</v>
      </c>
      <c r="AG182" s="57">
        <f t="shared" si="11"/>
        <v>0</v>
      </c>
      <c r="AH182" s="11"/>
      <c r="AI182" s="12"/>
      <c r="AJ182" s="12"/>
      <c r="AK182" s="9"/>
      <c r="AL182" s="9"/>
      <c r="AM182" s="12"/>
      <c r="AN182" s="12"/>
    </row>
    <row r="183" spans="1:40" s="8" customFormat="1" ht="17.100000000000001" customHeight="1" x14ac:dyDescent="0.3">
      <c r="A183" s="27" t="s">
        <v>17</v>
      </c>
      <c r="B183" s="33">
        <v>1</v>
      </c>
      <c r="C183" s="33">
        <v>2</v>
      </c>
      <c r="D183" s="34">
        <v>3</v>
      </c>
      <c r="E183" s="34">
        <v>4</v>
      </c>
      <c r="F183" s="33">
        <v>5</v>
      </c>
      <c r="G183" s="33">
        <v>6</v>
      </c>
      <c r="H183" s="33">
        <v>7</v>
      </c>
      <c r="I183" s="33">
        <v>8</v>
      </c>
      <c r="J183" s="33">
        <v>9</v>
      </c>
      <c r="K183" s="34">
        <v>10</v>
      </c>
      <c r="L183" s="34">
        <v>11</v>
      </c>
      <c r="M183" s="46" t="s">
        <v>22</v>
      </c>
      <c r="N183" s="46" t="s">
        <v>22</v>
      </c>
      <c r="O183" s="46" t="s">
        <v>22</v>
      </c>
      <c r="P183" s="46" t="s">
        <v>22</v>
      </c>
      <c r="Q183" s="46" t="s">
        <v>22</v>
      </c>
      <c r="R183" s="34">
        <v>17</v>
      </c>
      <c r="S183" s="34">
        <v>18</v>
      </c>
      <c r="T183" s="33">
        <v>19</v>
      </c>
      <c r="U183" s="33">
        <v>20</v>
      </c>
      <c r="V183" s="33">
        <v>21</v>
      </c>
      <c r="W183" s="33">
        <v>22</v>
      </c>
      <c r="X183" s="33">
        <v>23</v>
      </c>
      <c r="Y183" s="34">
        <v>24</v>
      </c>
      <c r="Z183" s="34">
        <v>25</v>
      </c>
      <c r="AA183" s="33">
        <v>26</v>
      </c>
      <c r="AB183" s="33">
        <v>27</v>
      </c>
      <c r="AC183" s="33">
        <v>28</v>
      </c>
      <c r="AD183" s="33">
        <v>29</v>
      </c>
      <c r="AE183" s="33">
        <v>30</v>
      </c>
      <c r="AF183" s="34">
        <v>31</v>
      </c>
      <c r="AG183" s="57">
        <f t="shared" si="11"/>
        <v>5</v>
      </c>
      <c r="AH183" s="15"/>
      <c r="AI183" s="9"/>
      <c r="AJ183" s="9"/>
      <c r="AK183" s="9"/>
      <c r="AL183" s="9"/>
      <c r="AM183" s="9"/>
      <c r="AN183" s="9"/>
    </row>
    <row r="184" spans="1:40" s="8" customFormat="1" ht="17.100000000000001" customHeight="1" x14ac:dyDescent="0.3">
      <c r="A184" s="30" t="s">
        <v>16</v>
      </c>
      <c r="B184" s="33">
        <v>1</v>
      </c>
      <c r="C184" s="33">
        <v>2</v>
      </c>
      <c r="D184" s="34">
        <v>3</v>
      </c>
      <c r="E184" s="34">
        <v>4</v>
      </c>
      <c r="F184" s="33">
        <v>5</v>
      </c>
      <c r="G184" s="33">
        <v>6</v>
      </c>
      <c r="H184" s="33">
        <v>7</v>
      </c>
      <c r="I184" s="33">
        <v>8</v>
      </c>
      <c r="J184" s="33">
        <v>9</v>
      </c>
      <c r="K184" s="34">
        <v>10</v>
      </c>
      <c r="L184" s="34">
        <v>11</v>
      </c>
      <c r="M184" s="33">
        <v>12</v>
      </c>
      <c r="N184" s="33">
        <v>13</v>
      </c>
      <c r="O184" s="33">
        <v>14</v>
      </c>
      <c r="P184" s="33">
        <v>15</v>
      </c>
      <c r="Q184" s="33">
        <v>16</v>
      </c>
      <c r="R184" s="34">
        <v>17</v>
      </c>
      <c r="S184" s="34">
        <v>18</v>
      </c>
      <c r="T184" s="33">
        <v>19</v>
      </c>
      <c r="U184" s="33">
        <v>20</v>
      </c>
      <c r="V184" s="33">
        <v>21</v>
      </c>
      <c r="W184" s="33">
        <v>22</v>
      </c>
      <c r="X184" s="33">
        <v>23</v>
      </c>
      <c r="Y184" s="34">
        <v>24</v>
      </c>
      <c r="Z184" s="34">
        <v>25</v>
      </c>
      <c r="AA184" s="33">
        <v>26</v>
      </c>
      <c r="AB184" s="33">
        <v>27</v>
      </c>
      <c r="AC184" s="33">
        <v>28</v>
      </c>
      <c r="AD184" s="33">
        <v>29</v>
      </c>
      <c r="AE184" s="33">
        <v>30</v>
      </c>
      <c r="AF184" s="34">
        <v>31</v>
      </c>
      <c r="AG184" s="57">
        <f t="shared" si="11"/>
        <v>0</v>
      </c>
      <c r="AH184" s="15"/>
      <c r="AI184" s="9"/>
      <c r="AJ184" s="9"/>
      <c r="AK184" s="9"/>
      <c r="AL184" s="9"/>
      <c r="AM184" s="9"/>
      <c r="AN184" s="9"/>
    </row>
    <row r="185" spans="1:40" s="8" customFormat="1" ht="17.100000000000001" customHeight="1" x14ac:dyDescent="0.3">
      <c r="A185" s="29" t="s">
        <v>20</v>
      </c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57"/>
      <c r="AH185" s="15"/>
      <c r="AI185" s="9"/>
      <c r="AJ185" s="9"/>
      <c r="AK185" s="9"/>
      <c r="AL185" s="9"/>
      <c r="AM185" s="9"/>
      <c r="AN185" s="9"/>
    </row>
    <row r="186" spans="1:40" s="8" customFormat="1" ht="17.100000000000001" customHeight="1" x14ac:dyDescent="0.3">
      <c r="A186" s="27" t="s">
        <v>11</v>
      </c>
      <c r="B186" s="33">
        <v>1</v>
      </c>
      <c r="C186" s="33">
        <v>2</v>
      </c>
      <c r="D186" s="34">
        <v>3</v>
      </c>
      <c r="E186" s="34">
        <v>4</v>
      </c>
      <c r="F186" s="33">
        <v>5</v>
      </c>
      <c r="G186" s="33">
        <v>6</v>
      </c>
      <c r="H186" s="33">
        <v>7</v>
      </c>
      <c r="I186" s="33">
        <v>8</v>
      </c>
      <c r="J186" s="38" t="s">
        <v>4</v>
      </c>
      <c r="K186" s="34">
        <v>10</v>
      </c>
      <c r="L186" s="34">
        <v>11</v>
      </c>
      <c r="M186" s="38" t="s">
        <v>22</v>
      </c>
      <c r="N186" s="33">
        <v>13</v>
      </c>
      <c r="O186" s="33">
        <v>14</v>
      </c>
      <c r="P186" s="33">
        <v>15</v>
      </c>
      <c r="Q186" s="33">
        <v>16</v>
      </c>
      <c r="R186" s="34">
        <v>17</v>
      </c>
      <c r="S186" s="34">
        <v>18</v>
      </c>
      <c r="T186" s="33">
        <v>19</v>
      </c>
      <c r="U186" s="33">
        <v>20</v>
      </c>
      <c r="V186" s="33">
        <v>21</v>
      </c>
      <c r="W186" s="33">
        <v>22</v>
      </c>
      <c r="X186" s="33">
        <v>23</v>
      </c>
      <c r="Y186" s="34">
        <v>24</v>
      </c>
      <c r="Z186" s="34">
        <v>25</v>
      </c>
      <c r="AA186" s="33">
        <v>26</v>
      </c>
      <c r="AB186" s="33">
        <v>27</v>
      </c>
      <c r="AC186" s="33">
        <v>28</v>
      </c>
      <c r="AD186" s="33">
        <v>29</v>
      </c>
      <c r="AE186" s="33">
        <v>30</v>
      </c>
      <c r="AF186" s="34">
        <v>31</v>
      </c>
      <c r="AG186" s="57">
        <f t="shared" si="11"/>
        <v>1</v>
      </c>
      <c r="AH186" s="15"/>
      <c r="AI186" s="9"/>
      <c r="AJ186" s="9"/>
      <c r="AK186" s="9"/>
      <c r="AL186" s="9"/>
      <c r="AM186" s="9"/>
      <c r="AN186" s="9"/>
    </row>
    <row r="187" spans="1:40" s="8" customFormat="1" ht="17.100000000000001" customHeight="1" x14ac:dyDescent="0.3">
      <c r="A187" s="28" t="s">
        <v>12</v>
      </c>
      <c r="B187" s="33">
        <v>1</v>
      </c>
      <c r="C187" s="33">
        <v>2</v>
      </c>
      <c r="D187" s="34">
        <v>3</v>
      </c>
      <c r="E187" s="34">
        <v>4</v>
      </c>
      <c r="F187" s="33">
        <v>5</v>
      </c>
      <c r="G187" s="33">
        <v>6</v>
      </c>
      <c r="H187" s="33">
        <v>7</v>
      </c>
      <c r="I187" s="33">
        <v>8</v>
      </c>
      <c r="J187" s="33">
        <v>9</v>
      </c>
      <c r="K187" s="34">
        <v>10</v>
      </c>
      <c r="L187" s="34">
        <v>11</v>
      </c>
      <c r="M187" s="33">
        <v>12</v>
      </c>
      <c r="N187" s="33">
        <v>13</v>
      </c>
      <c r="O187" s="33">
        <v>14</v>
      </c>
      <c r="P187" s="33">
        <v>15</v>
      </c>
      <c r="Q187" s="33">
        <v>16</v>
      </c>
      <c r="R187" s="34">
        <v>17</v>
      </c>
      <c r="S187" s="34">
        <v>18</v>
      </c>
      <c r="T187" s="33">
        <v>19</v>
      </c>
      <c r="U187" s="33">
        <v>20</v>
      </c>
      <c r="V187" s="33">
        <v>21</v>
      </c>
      <c r="W187" s="33">
        <v>22</v>
      </c>
      <c r="X187" s="33">
        <v>23</v>
      </c>
      <c r="Y187" s="34">
        <v>24</v>
      </c>
      <c r="Z187" s="34">
        <v>25</v>
      </c>
      <c r="AA187" s="33">
        <v>26</v>
      </c>
      <c r="AB187" s="33">
        <v>27</v>
      </c>
      <c r="AC187" s="33">
        <v>28</v>
      </c>
      <c r="AD187" s="33">
        <v>29</v>
      </c>
      <c r="AE187" s="33">
        <v>30</v>
      </c>
      <c r="AF187" s="34">
        <v>31</v>
      </c>
      <c r="AG187" s="57">
        <f t="shared" si="11"/>
        <v>0</v>
      </c>
      <c r="AH187" s="15"/>
      <c r="AI187" s="9"/>
      <c r="AJ187" s="9"/>
      <c r="AK187" s="9"/>
      <c r="AL187" s="9"/>
      <c r="AM187" s="9"/>
      <c r="AN187" s="9"/>
    </row>
    <row r="188" spans="1:40" s="8" customFormat="1" ht="17.100000000000001" customHeight="1" x14ac:dyDescent="0.3">
      <c r="A188" s="27" t="s">
        <v>13</v>
      </c>
      <c r="B188" s="33">
        <v>1</v>
      </c>
      <c r="C188" s="33">
        <v>2</v>
      </c>
      <c r="D188" s="34">
        <v>3</v>
      </c>
      <c r="E188" s="34">
        <v>4</v>
      </c>
      <c r="F188" s="33">
        <v>5</v>
      </c>
      <c r="G188" s="33">
        <v>6</v>
      </c>
      <c r="H188" s="33">
        <v>7</v>
      </c>
      <c r="I188" s="33">
        <v>8</v>
      </c>
      <c r="J188" s="33">
        <v>9</v>
      </c>
      <c r="K188" s="34">
        <v>10</v>
      </c>
      <c r="L188" s="34">
        <v>11</v>
      </c>
      <c r="M188" s="33">
        <v>12</v>
      </c>
      <c r="N188" s="33">
        <v>13</v>
      </c>
      <c r="O188" s="33">
        <v>14</v>
      </c>
      <c r="P188" s="33">
        <v>15</v>
      </c>
      <c r="Q188" s="33">
        <v>16</v>
      </c>
      <c r="R188" s="34">
        <v>17</v>
      </c>
      <c r="S188" s="34">
        <v>18</v>
      </c>
      <c r="T188" s="33">
        <v>19</v>
      </c>
      <c r="U188" s="33">
        <v>20</v>
      </c>
      <c r="V188" s="33">
        <v>21</v>
      </c>
      <c r="W188" s="33">
        <v>22</v>
      </c>
      <c r="X188" s="33">
        <v>23</v>
      </c>
      <c r="Y188" s="34">
        <v>24</v>
      </c>
      <c r="Z188" s="34">
        <v>25</v>
      </c>
      <c r="AA188" s="33">
        <v>26</v>
      </c>
      <c r="AB188" s="33">
        <v>27</v>
      </c>
      <c r="AC188" s="33">
        <v>28</v>
      </c>
      <c r="AD188" s="33">
        <v>29</v>
      </c>
      <c r="AE188" s="33">
        <v>30</v>
      </c>
      <c r="AF188" s="34">
        <v>31</v>
      </c>
      <c r="AG188" s="57">
        <f t="shared" si="11"/>
        <v>0</v>
      </c>
      <c r="AH188" s="15"/>
      <c r="AI188" s="9"/>
      <c r="AJ188" s="9"/>
      <c r="AK188" s="9"/>
      <c r="AL188" s="9"/>
      <c r="AM188" s="9"/>
      <c r="AN188" s="9"/>
    </row>
    <row r="189" spans="1:40" s="8" customFormat="1" ht="17.100000000000001" customHeight="1" x14ac:dyDescent="0.3">
      <c r="A189" s="29" t="s">
        <v>19</v>
      </c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57"/>
      <c r="AH189" s="15"/>
      <c r="AI189" s="9"/>
      <c r="AJ189" s="9"/>
      <c r="AK189" s="9"/>
      <c r="AL189" s="9"/>
      <c r="AM189" s="9"/>
      <c r="AN189" s="9"/>
    </row>
    <row r="190" spans="1:40" s="8" customFormat="1" ht="17.100000000000001" customHeight="1" x14ac:dyDescent="0.3">
      <c r="A190" s="27" t="s">
        <v>18</v>
      </c>
      <c r="B190" s="33">
        <v>1</v>
      </c>
      <c r="C190" s="33">
        <v>2</v>
      </c>
      <c r="D190" s="34">
        <v>3</v>
      </c>
      <c r="E190" s="34">
        <v>4</v>
      </c>
      <c r="F190" s="33">
        <v>5</v>
      </c>
      <c r="G190" s="33">
        <v>6</v>
      </c>
      <c r="H190" s="33">
        <v>7</v>
      </c>
      <c r="I190" s="33">
        <v>8</v>
      </c>
      <c r="J190" s="33">
        <v>9</v>
      </c>
      <c r="K190" s="34">
        <v>10</v>
      </c>
      <c r="L190" s="34">
        <v>11</v>
      </c>
      <c r="M190" s="33">
        <v>12</v>
      </c>
      <c r="N190" s="33">
        <v>13</v>
      </c>
      <c r="O190" s="33">
        <v>14</v>
      </c>
      <c r="P190" s="33">
        <v>15</v>
      </c>
      <c r="Q190" s="33">
        <v>16</v>
      </c>
      <c r="R190" s="34">
        <v>17</v>
      </c>
      <c r="S190" s="34">
        <v>18</v>
      </c>
      <c r="T190" s="46" t="s">
        <v>22</v>
      </c>
      <c r="U190" s="46" t="s">
        <v>22</v>
      </c>
      <c r="V190" s="46" t="s">
        <v>22</v>
      </c>
      <c r="W190" s="46" t="s">
        <v>22</v>
      </c>
      <c r="X190" s="46" t="s">
        <v>22</v>
      </c>
      <c r="Y190" s="34">
        <v>24</v>
      </c>
      <c r="Z190" s="34">
        <v>25</v>
      </c>
      <c r="AA190" s="33">
        <v>26</v>
      </c>
      <c r="AB190" s="33">
        <v>27</v>
      </c>
      <c r="AC190" s="33">
        <v>28</v>
      </c>
      <c r="AD190" s="33">
        <v>29</v>
      </c>
      <c r="AE190" s="33">
        <v>30</v>
      </c>
      <c r="AF190" s="34">
        <v>31</v>
      </c>
      <c r="AG190" s="57">
        <f t="shared" si="11"/>
        <v>5</v>
      </c>
      <c r="AH190" s="15"/>
      <c r="AI190" s="9"/>
      <c r="AJ190" s="9"/>
      <c r="AK190" s="9"/>
      <c r="AL190" s="9"/>
      <c r="AM190" s="9"/>
      <c r="AN190" s="9"/>
    </row>
    <row r="191" spans="1:40" s="8" customFormat="1" ht="17.100000000000001" customHeight="1" x14ac:dyDescent="0.3">
      <c r="A191" s="16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8"/>
      <c r="AH191" s="15"/>
      <c r="AI191" s="9"/>
      <c r="AJ191" s="9"/>
      <c r="AK191" s="9"/>
      <c r="AL191" s="9"/>
      <c r="AM191" s="9"/>
      <c r="AN191" s="9"/>
    </row>
    <row r="192" spans="1:40" s="8" customFormat="1" ht="17.100000000000001" customHeight="1" x14ac:dyDescent="0.3">
      <c r="A192" s="22">
        <v>46327</v>
      </c>
      <c r="B192" s="58" t="s">
        <v>1</v>
      </c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15"/>
      <c r="AI192" s="9"/>
      <c r="AJ192" s="9"/>
      <c r="AK192" s="9"/>
      <c r="AL192" s="9"/>
      <c r="AM192" s="9"/>
      <c r="AN192" s="9"/>
    </row>
    <row r="193" spans="1:40" s="8" customFormat="1" ht="17.100000000000001" customHeight="1" x14ac:dyDescent="0.3">
      <c r="A193" s="13" t="s">
        <v>2</v>
      </c>
      <c r="B193" s="32" t="s">
        <v>4</v>
      </c>
      <c r="C193" s="32" t="s">
        <v>5</v>
      </c>
      <c r="D193" s="32" t="s">
        <v>6</v>
      </c>
      <c r="E193" s="32" t="s">
        <v>5</v>
      </c>
      <c r="F193" s="32" t="s">
        <v>6</v>
      </c>
      <c r="G193" s="32" t="s">
        <v>3</v>
      </c>
      <c r="H193" s="32" t="s">
        <v>4</v>
      </c>
      <c r="I193" s="32" t="s">
        <v>4</v>
      </c>
      <c r="J193" s="32" t="s">
        <v>5</v>
      </c>
      <c r="K193" s="32" t="s">
        <v>6</v>
      </c>
      <c r="L193" s="32" t="s">
        <v>5</v>
      </c>
      <c r="M193" s="32" t="s">
        <v>6</v>
      </c>
      <c r="N193" s="32" t="s">
        <v>3</v>
      </c>
      <c r="O193" s="32" t="s">
        <v>4</v>
      </c>
      <c r="P193" s="32" t="s">
        <v>4</v>
      </c>
      <c r="Q193" s="32" t="s">
        <v>5</v>
      </c>
      <c r="R193" s="32" t="s">
        <v>6</v>
      </c>
      <c r="S193" s="32" t="s">
        <v>5</v>
      </c>
      <c r="T193" s="32" t="s">
        <v>6</v>
      </c>
      <c r="U193" s="32" t="s">
        <v>3</v>
      </c>
      <c r="V193" s="32" t="s">
        <v>4</v>
      </c>
      <c r="W193" s="32" t="s">
        <v>4</v>
      </c>
      <c r="X193" s="32" t="s">
        <v>5</v>
      </c>
      <c r="Y193" s="32" t="s">
        <v>6</v>
      </c>
      <c r="Z193" s="32" t="s">
        <v>5</v>
      </c>
      <c r="AA193" s="32" t="s">
        <v>6</v>
      </c>
      <c r="AB193" s="32" t="s">
        <v>3</v>
      </c>
      <c r="AC193" s="32" t="s">
        <v>4</v>
      </c>
      <c r="AD193" s="32" t="s">
        <v>4</v>
      </c>
      <c r="AE193" s="32" t="s">
        <v>5</v>
      </c>
      <c r="AF193" s="60" t="s">
        <v>7</v>
      </c>
      <c r="AG193" s="61"/>
      <c r="AH193" s="15"/>
      <c r="AI193" s="9"/>
      <c r="AJ193" s="9"/>
      <c r="AK193" s="9"/>
      <c r="AL193" s="9"/>
      <c r="AM193" s="9"/>
      <c r="AN193" s="9"/>
    </row>
    <row r="194" spans="1:40" s="8" customFormat="1" ht="17.100000000000001" customHeight="1" x14ac:dyDescent="0.3">
      <c r="A194" s="27" t="s">
        <v>8</v>
      </c>
      <c r="B194" s="34">
        <v>1</v>
      </c>
      <c r="C194" s="33">
        <v>2</v>
      </c>
      <c r="D194" s="33">
        <v>3</v>
      </c>
      <c r="E194" s="33">
        <v>4</v>
      </c>
      <c r="F194" s="33">
        <v>5</v>
      </c>
      <c r="G194" s="33">
        <v>6</v>
      </c>
      <c r="H194" s="34">
        <v>7</v>
      </c>
      <c r="I194" s="34">
        <v>8</v>
      </c>
      <c r="J194" s="33">
        <v>9</v>
      </c>
      <c r="K194" s="33">
        <v>10</v>
      </c>
      <c r="L194" s="33">
        <v>11</v>
      </c>
      <c r="M194" s="33">
        <v>12</v>
      </c>
      <c r="N194" s="33">
        <v>13</v>
      </c>
      <c r="O194" s="34">
        <v>14</v>
      </c>
      <c r="P194" s="34">
        <v>15</v>
      </c>
      <c r="Q194" s="33">
        <v>16</v>
      </c>
      <c r="R194" s="33">
        <v>17</v>
      </c>
      <c r="S194" s="33">
        <v>18</v>
      </c>
      <c r="T194" s="33">
        <v>19</v>
      </c>
      <c r="U194" s="33">
        <v>20</v>
      </c>
      <c r="V194" s="34">
        <v>21</v>
      </c>
      <c r="W194" s="34">
        <v>22</v>
      </c>
      <c r="X194" s="33">
        <v>23</v>
      </c>
      <c r="Y194" s="33">
        <v>24</v>
      </c>
      <c r="Z194" s="33">
        <v>25</v>
      </c>
      <c r="AA194" s="33">
        <v>26</v>
      </c>
      <c r="AB194" s="33">
        <v>27</v>
      </c>
      <c r="AC194" s="34">
        <v>28</v>
      </c>
      <c r="AD194" s="34">
        <v>29</v>
      </c>
      <c r="AE194" s="33">
        <v>30</v>
      </c>
      <c r="AF194" s="31"/>
      <c r="AG194" s="57">
        <f t="shared" ref="AG194:AG209" si="12">COUNTIF($B194:$AF194,"U")</f>
        <v>0</v>
      </c>
      <c r="AH194" s="15"/>
      <c r="AI194" s="9"/>
      <c r="AJ194" s="9"/>
      <c r="AK194" s="9"/>
      <c r="AL194" s="9"/>
      <c r="AM194" s="9"/>
      <c r="AN194" s="9"/>
    </row>
    <row r="195" spans="1:40" s="8" customFormat="1" ht="17.100000000000001" customHeight="1" x14ac:dyDescent="0.3">
      <c r="A195" s="28" t="s">
        <v>14</v>
      </c>
      <c r="B195" s="34">
        <v>1</v>
      </c>
      <c r="C195" s="46" t="s">
        <v>22</v>
      </c>
      <c r="D195" s="46" t="s">
        <v>22</v>
      </c>
      <c r="E195" s="46" t="s">
        <v>22</v>
      </c>
      <c r="F195" s="46" t="s">
        <v>22</v>
      </c>
      <c r="G195" s="46" t="s">
        <v>22</v>
      </c>
      <c r="H195" s="46">
        <v>7</v>
      </c>
      <c r="I195" s="46">
        <v>8</v>
      </c>
      <c r="J195" s="46" t="s">
        <v>22</v>
      </c>
      <c r="K195" s="46" t="s">
        <v>22</v>
      </c>
      <c r="L195" s="46" t="s">
        <v>22</v>
      </c>
      <c r="M195" s="46" t="s">
        <v>22</v>
      </c>
      <c r="N195" s="33">
        <v>13</v>
      </c>
      <c r="O195" s="34">
        <v>14</v>
      </c>
      <c r="P195" s="34">
        <v>15</v>
      </c>
      <c r="Q195" s="33">
        <v>16</v>
      </c>
      <c r="R195" s="33">
        <v>17</v>
      </c>
      <c r="S195" s="33">
        <v>18</v>
      </c>
      <c r="T195" s="33">
        <v>19</v>
      </c>
      <c r="U195" s="33">
        <v>20</v>
      </c>
      <c r="V195" s="34">
        <v>21</v>
      </c>
      <c r="W195" s="34">
        <v>22</v>
      </c>
      <c r="X195" s="33">
        <v>23</v>
      </c>
      <c r="Y195" s="33">
        <v>24</v>
      </c>
      <c r="Z195" s="33">
        <v>25</v>
      </c>
      <c r="AA195" s="33">
        <v>26</v>
      </c>
      <c r="AB195" s="33">
        <v>27</v>
      </c>
      <c r="AC195" s="34">
        <v>28</v>
      </c>
      <c r="AD195" s="34">
        <v>29</v>
      </c>
      <c r="AE195" s="33">
        <v>30</v>
      </c>
      <c r="AF195" s="31"/>
      <c r="AG195" s="57">
        <f t="shared" si="12"/>
        <v>9</v>
      </c>
      <c r="AH195" s="15"/>
      <c r="AI195" s="9"/>
      <c r="AJ195" s="9"/>
      <c r="AK195" s="9"/>
      <c r="AL195" s="9"/>
      <c r="AM195" s="9"/>
      <c r="AN195" s="9"/>
    </row>
    <row r="196" spans="1:40" s="8" customFormat="1" ht="17.100000000000001" customHeight="1" x14ac:dyDescent="0.3">
      <c r="A196" s="27" t="s">
        <v>9</v>
      </c>
      <c r="B196" s="34">
        <v>1</v>
      </c>
      <c r="C196" s="33">
        <v>2</v>
      </c>
      <c r="D196" s="33">
        <v>3</v>
      </c>
      <c r="E196" s="33">
        <v>4</v>
      </c>
      <c r="F196" s="33">
        <v>5</v>
      </c>
      <c r="G196" s="33">
        <v>6</v>
      </c>
      <c r="H196" s="34">
        <v>7</v>
      </c>
      <c r="I196" s="34">
        <v>8</v>
      </c>
      <c r="J196" s="33">
        <v>9</v>
      </c>
      <c r="K196" s="33">
        <v>10</v>
      </c>
      <c r="L196" s="33">
        <v>11</v>
      </c>
      <c r="M196" s="33">
        <v>12</v>
      </c>
      <c r="N196" s="33">
        <v>13</v>
      </c>
      <c r="O196" s="34">
        <v>14</v>
      </c>
      <c r="P196" s="34">
        <v>15</v>
      </c>
      <c r="Q196" s="33">
        <v>16</v>
      </c>
      <c r="R196" s="33">
        <v>17</v>
      </c>
      <c r="S196" s="33">
        <v>18</v>
      </c>
      <c r="T196" s="33">
        <v>19</v>
      </c>
      <c r="U196" s="33">
        <v>20</v>
      </c>
      <c r="V196" s="34">
        <v>21</v>
      </c>
      <c r="W196" s="34">
        <v>22</v>
      </c>
      <c r="X196" s="33">
        <v>23</v>
      </c>
      <c r="Y196" s="33">
        <v>24</v>
      </c>
      <c r="Z196" s="33">
        <v>25</v>
      </c>
      <c r="AA196" s="33">
        <v>26</v>
      </c>
      <c r="AB196" s="33">
        <v>27</v>
      </c>
      <c r="AC196" s="34">
        <v>28</v>
      </c>
      <c r="AD196" s="34">
        <v>29</v>
      </c>
      <c r="AE196" s="33">
        <v>30</v>
      </c>
      <c r="AF196" s="31"/>
      <c r="AG196" s="57">
        <f t="shared" si="12"/>
        <v>0</v>
      </c>
      <c r="AH196" s="15"/>
      <c r="AI196" s="9"/>
      <c r="AJ196" s="9"/>
      <c r="AK196" s="9"/>
      <c r="AL196" s="9"/>
      <c r="AM196" s="9"/>
      <c r="AN196" s="9"/>
    </row>
    <row r="197" spans="1:40" s="8" customFormat="1" ht="17.100000000000001" customHeight="1" x14ac:dyDescent="0.3">
      <c r="A197" s="28" t="s">
        <v>10</v>
      </c>
      <c r="B197" s="34">
        <v>1</v>
      </c>
      <c r="C197" s="33">
        <v>2</v>
      </c>
      <c r="D197" s="33">
        <v>3</v>
      </c>
      <c r="E197" s="33">
        <v>4</v>
      </c>
      <c r="F197" s="33">
        <v>5</v>
      </c>
      <c r="G197" s="33">
        <v>6</v>
      </c>
      <c r="H197" s="34">
        <v>7</v>
      </c>
      <c r="I197" s="34">
        <v>8</v>
      </c>
      <c r="J197" s="33">
        <v>9</v>
      </c>
      <c r="K197" s="33">
        <v>10</v>
      </c>
      <c r="L197" s="33">
        <v>11</v>
      </c>
      <c r="M197" s="33">
        <v>12</v>
      </c>
      <c r="N197" s="33">
        <v>13</v>
      </c>
      <c r="O197" s="34">
        <v>14</v>
      </c>
      <c r="P197" s="34">
        <v>15</v>
      </c>
      <c r="Q197" s="33">
        <v>16</v>
      </c>
      <c r="R197" s="33">
        <v>17</v>
      </c>
      <c r="S197" s="33">
        <v>18</v>
      </c>
      <c r="T197" s="33">
        <v>19</v>
      </c>
      <c r="U197" s="33">
        <v>20</v>
      </c>
      <c r="V197" s="34">
        <v>21</v>
      </c>
      <c r="W197" s="34">
        <v>22</v>
      </c>
      <c r="X197" s="33">
        <v>23</v>
      </c>
      <c r="Y197" s="33">
        <v>24</v>
      </c>
      <c r="Z197" s="33">
        <v>25</v>
      </c>
      <c r="AA197" s="33">
        <v>26</v>
      </c>
      <c r="AB197" s="33">
        <v>27</v>
      </c>
      <c r="AC197" s="34">
        <v>28</v>
      </c>
      <c r="AD197" s="34">
        <v>29</v>
      </c>
      <c r="AE197" s="33">
        <v>30</v>
      </c>
      <c r="AF197" s="31"/>
      <c r="AG197" s="57">
        <f t="shared" si="12"/>
        <v>0</v>
      </c>
      <c r="AH197" s="15"/>
      <c r="AI197" s="9"/>
      <c r="AJ197" s="9"/>
      <c r="AK197" s="9"/>
      <c r="AL197" s="9"/>
      <c r="AM197" s="9"/>
      <c r="AN197" s="9"/>
    </row>
    <row r="198" spans="1:40" s="8" customFormat="1" ht="17.100000000000001" customHeight="1" x14ac:dyDescent="0.3">
      <c r="A198" s="27" t="s">
        <v>15</v>
      </c>
      <c r="B198" s="34">
        <v>1</v>
      </c>
      <c r="C198" s="33">
        <v>2</v>
      </c>
      <c r="D198" s="33">
        <v>3</v>
      </c>
      <c r="E198" s="33">
        <v>4</v>
      </c>
      <c r="F198" s="33">
        <v>5</v>
      </c>
      <c r="G198" s="33">
        <v>6</v>
      </c>
      <c r="H198" s="34">
        <v>7</v>
      </c>
      <c r="I198" s="34">
        <v>8</v>
      </c>
      <c r="J198" s="33">
        <v>9</v>
      </c>
      <c r="K198" s="40" t="s">
        <v>22</v>
      </c>
      <c r="L198" s="40" t="s">
        <v>22</v>
      </c>
      <c r="M198" s="33">
        <v>12</v>
      </c>
      <c r="N198" s="33">
        <v>13</v>
      </c>
      <c r="O198" s="34">
        <v>14</v>
      </c>
      <c r="P198" s="34">
        <v>15</v>
      </c>
      <c r="Q198" s="40" t="s">
        <v>22</v>
      </c>
      <c r="R198" s="40" t="s">
        <v>22</v>
      </c>
      <c r="S198" s="40" t="s">
        <v>22</v>
      </c>
      <c r="T198" s="40" t="s">
        <v>22</v>
      </c>
      <c r="U198" s="40" t="s">
        <v>22</v>
      </c>
      <c r="V198" s="34">
        <v>21</v>
      </c>
      <c r="W198" s="34">
        <v>22</v>
      </c>
      <c r="X198" s="33">
        <v>23</v>
      </c>
      <c r="Y198" s="33">
        <v>24</v>
      </c>
      <c r="Z198" s="33">
        <v>25</v>
      </c>
      <c r="AA198" s="33">
        <v>26</v>
      </c>
      <c r="AB198" s="33">
        <v>27</v>
      </c>
      <c r="AC198" s="34">
        <v>28</v>
      </c>
      <c r="AD198" s="34">
        <v>29</v>
      </c>
      <c r="AE198" s="33">
        <v>30</v>
      </c>
      <c r="AF198" s="31"/>
      <c r="AG198" s="57">
        <f>COUNTIF($B198:$AF198,"U")</f>
        <v>7</v>
      </c>
      <c r="AH198" s="15"/>
      <c r="AI198" s="9"/>
      <c r="AJ198" s="9"/>
      <c r="AK198" s="9"/>
      <c r="AL198" s="9"/>
      <c r="AM198" s="9"/>
      <c r="AN198" s="9"/>
    </row>
    <row r="199" spans="1:40" s="8" customFormat="1" ht="17.100000000000001" customHeight="1" x14ac:dyDescent="0.3">
      <c r="A199" s="28" t="s">
        <v>29</v>
      </c>
      <c r="B199" s="34">
        <v>1</v>
      </c>
      <c r="C199" s="33">
        <v>2</v>
      </c>
      <c r="D199" s="33">
        <v>3</v>
      </c>
      <c r="E199" s="33">
        <v>4</v>
      </c>
      <c r="F199" s="33">
        <v>5</v>
      </c>
      <c r="G199" s="33">
        <v>6</v>
      </c>
      <c r="H199" s="34">
        <v>7</v>
      </c>
      <c r="I199" s="34">
        <v>8</v>
      </c>
      <c r="J199" s="33">
        <v>9</v>
      </c>
      <c r="K199" s="33">
        <v>10</v>
      </c>
      <c r="L199" s="33">
        <v>11</v>
      </c>
      <c r="M199" s="33">
        <v>12</v>
      </c>
      <c r="N199" s="33">
        <v>13</v>
      </c>
      <c r="O199" s="34">
        <v>14</v>
      </c>
      <c r="P199" s="34">
        <v>15</v>
      </c>
      <c r="Q199" s="33">
        <v>16</v>
      </c>
      <c r="R199" s="33">
        <v>17</v>
      </c>
      <c r="S199" s="33">
        <v>18</v>
      </c>
      <c r="T199" s="33">
        <v>19</v>
      </c>
      <c r="U199" s="33">
        <v>20</v>
      </c>
      <c r="V199" s="34">
        <v>21</v>
      </c>
      <c r="W199" s="34">
        <v>22</v>
      </c>
      <c r="X199" s="33">
        <v>23</v>
      </c>
      <c r="Y199" s="33">
        <v>24</v>
      </c>
      <c r="Z199" s="33">
        <v>25</v>
      </c>
      <c r="AA199" s="33">
        <v>26</v>
      </c>
      <c r="AB199" s="33">
        <v>27</v>
      </c>
      <c r="AC199" s="34">
        <v>28</v>
      </c>
      <c r="AD199" s="34">
        <v>29</v>
      </c>
      <c r="AE199" s="33">
        <v>30</v>
      </c>
      <c r="AF199" s="31"/>
      <c r="AG199" s="57">
        <f t="shared" si="12"/>
        <v>0</v>
      </c>
      <c r="AH199" s="15"/>
      <c r="AI199" s="9"/>
      <c r="AJ199" s="9"/>
      <c r="AK199" s="12"/>
      <c r="AL199" s="12"/>
      <c r="AM199" s="9"/>
      <c r="AN199" s="9"/>
    </row>
    <row r="200" spans="1:40" s="8" customFormat="1" ht="17.100000000000001" customHeight="1" x14ac:dyDescent="0.3">
      <c r="A200" s="29" t="s">
        <v>21</v>
      </c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1"/>
      <c r="AG200" s="57"/>
      <c r="AH200" s="15"/>
      <c r="AI200" s="9"/>
      <c r="AJ200" s="9"/>
      <c r="AK200" s="9"/>
      <c r="AL200" s="9"/>
      <c r="AM200" s="9"/>
      <c r="AN200" s="9"/>
    </row>
    <row r="201" spans="1:40" ht="16.5" customHeight="1" x14ac:dyDescent="0.25">
      <c r="A201" s="30" t="s">
        <v>28</v>
      </c>
      <c r="B201" s="34">
        <v>1</v>
      </c>
      <c r="C201" s="33">
        <v>2</v>
      </c>
      <c r="D201" s="33">
        <v>3</v>
      </c>
      <c r="E201" s="33">
        <v>4</v>
      </c>
      <c r="F201" s="33">
        <v>5</v>
      </c>
      <c r="G201" s="33">
        <v>6</v>
      </c>
      <c r="H201" s="34">
        <v>7</v>
      </c>
      <c r="I201" s="34">
        <v>8</v>
      </c>
      <c r="J201" s="33">
        <v>9</v>
      </c>
      <c r="K201" s="33">
        <v>10</v>
      </c>
      <c r="L201" s="33">
        <v>11</v>
      </c>
      <c r="M201" s="33">
        <v>12</v>
      </c>
      <c r="N201" s="33">
        <v>13</v>
      </c>
      <c r="O201" s="34">
        <v>14</v>
      </c>
      <c r="P201" s="34">
        <v>15</v>
      </c>
      <c r="Q201" s="33">
        <v>16</v>
      </c>
      <c r="R201" s="33">
        <v>17</v>
      </c>
      <c r="S201" s="33">
        <v>18</v>
      </c>
      <c r="T201" s="33">
        <v>19</v>
      </c>
      <c r="U201" s="33">
        <v>20</v>
      </c>
      <c r="V201" s="34">
        <v>21</v>
      </c>
      <c r="W201" s="34">
        <v>22</v>
      </c>
      <c r="X201" s="33">
        <v>23</v>
      </c>
      <c r="Y201" s="33">
        <v>24</v>
      </c>
      <c r="Z201" s="33">
        <v>25</v>
      </c>
      <c r="AA201" s="33">
        <v>26</v>
      </c>
      <c r="AB201" s="33">
        <v>27</v>
      </c>
      <c r="AC201" s="34">
        <v>28</v>
      </c>
      <c r="AD201" s="34">
        <v>29</v>
      </c>
      <c r="AE201" s="33">
        <v>30</v>
      </c>
      <c r="AF201" s="31"/>
      <c r="AG201" s="57">
        <f t="shared" si="12"/>
        <v>0</v>
      </c>
      <c r="AH201" s="15"/>
      <c r="AI201" s="9"/>
      <c r="AJ201" s="9"/>
      <c r="AK201" s="9"/>
      <c r="AL201" s="9"/>
      <c r="AM201" s="9"/>
      <c r="AN201" s="9"/>
    </row>
    <row r="202" spans="1:40" s="7" customFormat="1" ht="20.100000000000001" customHeight="1" x14ac:dyDescent="0.25">
      <c r="A202" s="27" t="s">
        <v>17</v>
      </c>
      <c r="B202" s="34">
        <v>1</v>
      </c>
      <c r="C202" s="33">
        <v>2</v>
      </c>
      <c r="D202" s="33">
        <v>3</v>
      </c>
      <c r="E202" s="33">
        <v>4</v>
      </c>
      <c r="F202" s="33">
        <v>5</v>
      </c>
      <c r="G202" s="33">
        <v>6</v>
      </c>
      <c r="H202" s="34">
        <v>7</v>
      </c>
      <c r="I202" s="34">
        <v>8</v>
      </c>
      <c r="J202" s="33">
        <v>9</v>
      </c>
      <c r="K202" s="33">
        <v>10</v>
      </c>
      <c r="L202" s="33">
        <v>11</v>
      </c>
      <c r="M202" s="33">
        <v>12</v>
      </c>
      <c r="N202" s="33">
        <v>13</v>
      </c>
      <c r="O202" s="34">
        <v>14</v>
      </c>
      <c r="P202" s="34">
        <v>15</v>
      </c>
      <c r="Q202" s="33">
        <v>16</v>
      </c>
      <c r="R202" s="33">
        <v>17</v>
      </c>
      <c r="S202" s="33">
        <v>18</v>
      </c>
      <c r="T202" s="33">
        <v>19</v>
      </c>
      <c r="U202" s="33">
        <v>20</v>
      </c>
      <c r="V202" s="34">
        <v>21</v>
      </c>
      <c r="W202" s="34">
        <v>22</v>
      </c>
      <c r="X202" s="33">
        <v>23</v>
      </c>
      <c r="Y202" s="33">
        <v>24</v>
      </c>
      <c r="Z202" s="33">
        <v>25</v>
      </c>
      <c r="AA202" s="33">
        <v>26</v>
      </c>
      <c r="AB202" s="33">
        <v>27</v>
      </c>
      <c r="AC202" s="34">
        <v>28</v>
      </c>
      <c r="AD202" s="34">
        <v>29</v>
      </c>
      <c r="AE202" s="46" t="s">
        <v>22</v>
      </c>
      <c r="AF202" s="31"/>
      <c r="AG202" s="57">
        <f t="shared" si="12"/>
        <v>1</v>
      </c>
      <c r="AH202" s="11"/>
      <c r="AI202" s="12"/>
      <c r="AJ202" s="12"/>
      <c r="AK202" s="9"/>
      <c r="AL202" s="9"/>
      <c r="AM202" s="12"/>
      <c r="AN202" s="12"/>
    </row>
    <row r="203" spans="1:40" s="8" customFormat="1" ht="17.100000000000001" customHeight="1" x14ac:dyDescent="0.3">
      <c r="A203" s="30" t="s">
        <v>16</v>
      </c>
      <c r="B203" s="34">
        <v>1</v>
      </c>
      <c r="C203" s="33">
        <v>2</v>
      </c>
      <c r="D203" s="33">
        <v>3</v>
      </c>
      <c r="E203" s="33">
        <v>4</v>
      </c>
      <c r="F203" s="33">
        <v>5</v>
      </c>
      <c r="G203" s="33">
        <v>6</v>
      </c>
      <c r="H203" s="34">
        <v>7</v>
      </c>
      <c r="I203" s="34">
        <v>8</v>
      </c>
      <c r="J203" s="33">
        <v>9</v>
      </c>
      <c r="K203" s="33">
        <v>10</v>
      </c>
      <c r="L203" s="33">
        <v>11</v>
      </c>
      <c r="M203" s="33">
        <v>12</v>
      </c>
      <c r="N203" s="33">
        <v>13</v>
      </c>
      <c r="O203" s="34">
        <v>14</v>
      </c>
      <c r="P203" s="34">
        <v>15</v>
      </c>
      <c r="Q203" s="33">
        <v>16</v>
      </c>
      <c r="R203" s="33">
        <v>17</v>
      </c>
      <c r="S203" s="33">
        <v>18</v>
      </c>
      <c r="T203" s="33">
        <v>19</v>
      </c>
      <c r="U203" s="33">
        <v>20</v>
      </c>
      <c r="V203" s="34">
        <v>21</v>
      </c>
      <c r="W203" s="34">
        <v>22</v>
      </c>
      <c r="X203" s="33">
        <v>23</v>
      </c>
      <c r="Y203" s="33">
        <v>24</v>
      </c>
      <c r="Z203" s="33">
        <v>25</v>
      </c>
      <c r="AA203" s="33">
        <v>26</v>
      </c>
      <c r="AB203" s="33">
        <v>27</v>
      </c>
      <c r="AC203" s="34">
        <v>28</v>
      </c>
      <c r="AD203" s="34">
        <v>29</v>
      </c>
      <c r="AE203" s="33">
        <v>30</v>
      </c>
      <c r="AF203" s="31"/>
      <c r="AG203" s="57">
        <f t="shared" si="12"/>
        <v>0</v>
      </c>
      <c r="AH203" s="15"/>
      <c r="AI203" s="9"/>
      <c r="AJ203" s="9"/>
      <c r="AK203" s="9"/>
      <c r="AL203" s="9"/>
      <c r="AM203" s="9"/>
      <c r="AN203" s="9"/>
    </row>
    <row r="204" spans="1:40" s="8" customFormat="1" ht="17.100000000000001" customHeight="1" x14ac:dyDescent="0.3">
      <c r="A204" s="29" t="s">
        <v>20</v>
      </c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1"/>
      <c r="AG204" s="57"/>
      <c r="AH204" s="15"/>
      <c r="AI204" s="9"/>
      <c r="AJ204" s="9"/>
      <c r="AK204" s="9"/>
      <c r="AL204" s="9"/>
      <c r="AM204" s="9"/>
      <c r="AN204" s="9"/>
    </row>
    <row r="205" spans="1:40" s="8" customFormat="1" ht="17.100000000000001" customHeight="1" x14ac:dyDescent="0.3">
      <c r="A205" s="27" t="s">
        <v>11</v>
      </c>
      <c r="B205" s="34">
        <v>1</v>
      </c>
      <c r="C205" s="33">
        <v>2</v>
      </c>
      <c r="D205" s="33">
        <v>3</v>
      </c>
      <c r="E205" s="33">
        <v>4</v>
      </c>
      <c r="F205" s="33">
        <v>5</v>
      </c>
      <c r="G205" s="33">
        <v>6</v>
      </c>
      <c r="H205" s="34">
        <v>7</v>
      </c>
      <c r="I205" s="34">
        <v>8</v>
      </c>
      <c r="J205" s="33">
        <v>9</v>
      </c>
      <c r="K205" s="33">
        <v>10</v>
      </c>
      <c r="L205" s="33">
        <v>11</v>
      </c>
      <c r="M205" s="33">
        <v>12</v>
      </c>
      <c r="N205" s="33">
        <v>13</v>
      </c>
      <c r="O205" s="34">
        <v>14</v>
      </c>
      <c r="P205" s="34">
        <v>15</v>
      </c>
      <c r="Q205" s="33">
        <v>16</v>
      </c>
      <c r="R205" s="33">
        <v>17</v>
      </c>
      <c r="S205" s="33">
        <v>18</v>
      </c>
      <c r="T205" s="33">
        <v>19</v>
      </c>
      <c r="U205" s="33">
        <v>20</v>
      </c>
      <c r="V205" s="34">
        <v>21</v>
      </c>
      <c r="W205" s="34">
        <v>22</v>
      </c>
      <c r="X205" s="33">
        <v>23</v>
      </c>
      <c r="Y205" s="33">
        <v>24</v>
      </c>
      <c r="Z205" s="33">
        <v>25</v>
      </c>
      <c r="AA205" s="33">
        <v>26</v>
      </c>
      <c r="AB205" s="33">
        <v>27</v>
      </c>
      <c r="AC205" s="34">
        <v>28</v>
      </c>
      <c r="AD205" s="34">
        <v>29</v>
      </c>
      <c r="AE205" s="33">
        <v>30</v>
      </c>
      <c r="AF205" s="31"/>
      <c r="AG205" s="57">
        <f t="shared" si="12"/>
        <v>0</v>
      </c>
      <c r="AH205" s="15"/>
      <c r="AI205" s="9"/>
      <c r="AJ205" s="9"/>
      <c r="AK205" s="9"/>
      <c r="AL205" s="9"/>
      <c r="AM205" s="9"/>
      <c r="AN205" s="9"/>
    </row>
    <row r="206" spans="1:40" s="8" customFormat="1" ht="17.100000000000001" customHeight="1" x14ac:dyDescent="0.3">
      <c r="A206" s="28" t="s">
        <v>12</v>
      </c>
      <c r="B206" s="34">
        <v>1</v>
      </c>
      <c r="C206" s="33">
        <v>2</v>
      </c>
      <c r="D206" s="33">
        <v>3</v>
      </c>
      <c r="E206" s="33">
        <v>4</v>
      </c>
      <c r="F206" s="33">
        <v>5</v>
      </c>
      <c r="G206" s="33">
        <v>6</v>
      </c>
      <c r="H206" s="34">
        <v>7</v>
      </c>
      <c r="I206" s="34">
        <v>8</v>
      </c>
      <c r="J206" s="33">
        <v>9</v>
      </c>
      <c r="K206" s="33">
        <v>10</v>
      </c>
      <c r="L206" s="33">
        <v>11</v>
      </c>
      <c r="M206" s="33">
        <v>12</v>
      </c>
      <c r="N206" s="33">
        <v>13</v>
      </c>
      <c r="O206" s="34">
        <v>14</v>
      </c>
      <c r="P206" s="34">
        <v>15</v>
      </c>
      <c r="Q206" s="33">
        <v>16</v>
      </c>
      <c r="R206" s="33">
        <v>17</v>
      </c>
      <c r="S206" s="33">
        <v>18</v>
      </c>
      <c r="T206" s="33">
        <v>19</v>
      </c>
      <c r="U206" s="33">
        <v>20</v>
      </c>
      <c r="V206" s="34">
        <v>21</v>
      </c>
      <c r="W206" s="34">
        <v>22</v>
      </c>
      <c r="X206" s="33">
        <v>23</v>
      </c>
      <c r="Y206" s="33">
        <v>24</v>
      </c>
      <c r="Z206" s="33">
        <v>25</v>
      </c>
      <c r="AA206" s="33">
        <v>26</v>
      </c>
      <c r="AB206" s="33">
        <v>27</v>
      </c>
      <c r="AC206" s="34">
        <v>28</v>
      </c>
      <c r="AD206" s="34">
        <v>29</v>
      </c>
      <c r="AE206" s="33">
        <v>30</v>
      </c>
      <c r="AF206" s="31"/>
      <c r="AG206" s="57">
        <f t="shared" si="12"/>
        <v>0</v>
      </c>
      <c r="AH206" s="15"/>
      <c r="AI206" s="9"/>
      <c r="AJ206" s="9"/>
      <c r="AK206" s="9"/>
      <c r="AL206" s="9"/>
      <c r="AM206" s="9"/>
      <c r="AN206" s="9"/>
    </row>
    <row r="207" spans="1:40" s="8" customFormat="1" ht="17.100000000000001" customHeight="1" x14ac:dyDescent="0.3">
      <c r="A207" s="27" t="s">
        <v>13</v>
      </c>
      <c r="B207" s="34">
        <v>1</v>
      </c>
      <c r="C207" s="33">
        <v>2</v>
      </c>
      <c r="D207" s="33">
        <v>3</v>
      </c>
      <c r="E207" s="33">
        <v>4</v>
      </c>
      <c r="F207" s="33">
        <v>5</v>
      </c>
      <c r="G207" s="33">
        <v>6</v>
      </c>
      <c r="H207" s="34">
        <v>7</v>
      </c>
      <c r="I207" s="34">
        <v>8</v>
      </c>
      <c r="J207" s="33">
        <v>9</v>
      </c>
      <c r="K207" s="33">
        <v>10</v>
      </c>
      <c r="L207" s="33">
        <v>11</v>
      </c>
      <c r="M207" s="33">
        <v>12</v>
      </c>
      <c r="N207" s="33">
        <v>13</v>
      </c>
      <c r="O207" s="34">
        <v>14</v>
      </c>
      <c r="P207" s="34">
        <v>15</v>
      </c>
      <c r="Q207" s="33">
        <v>16</v>
      </c>
      <c r="R207" s="33">
        <v>17</v>
      </c>
      <c r="S207" s="33">
        <v>18</v>
      </c>
      <c r="T207" s="33">
        <v>19</v>
      </c>
      <c r="U207" s="33">
        <v>20</v>
      </c>
      <c r="V207" s="34">
        <v>21</v>
      </c>
      <c r="W207" s="34">
        <v>22</v>
      </c>
      <c r="X207" s="33">
        <v>23</v>
      </c>
      <c r="Y207" s="33">
        <v>24</v>
      </c>
      <c r="Z207" s="33">
        <v>25</v>
      </c>
      <c r="AA207" s="33">
        <v>26</v>
      </c>
      <c r="AB207" s="33">
        <v>27</v>
      </c>
      <c r="AC207" s="34">
        <v>28</v>
      </c>
      <c r="AD207" s="34">
        <v>29</v>
      </c>
      <c r="AE207" s="33">
        <v>30</v>
      </c>
      <c r="AF207" s="31"/>
      <c r="AG207" s="57">
        <f t="shared" si="12"/>
        <v>0</v>
      </c>
      <c r="AH207" s="15"/>
      <c r="AI207" s="9"/>
      <c r="AJ207" s="9"/>
      <c r="AK207" s="9"/>
      <c r="AL207" s="9"/>
      <c r="AM207" s="9"/>
      <c r="AN207" s="9"/>
    </row>
    <row r="208" spans="1:40" s="8" customFormat="1" ht="17.100000000000001" customHeight="1" x14ac:dyDescent="0.3">
      <c r="A208" s="29" t="s">
        <v>19</v>
      </c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1"/>
      <c r="AG208" s="57"/>
      <c r="AH208" s="15"/>
      <c r="AI208" s="9"/>
      <c r="AJ208" s="9"/>
      <c r="AK208" s="9"/>
      <c r="AL208" s="9"/>
      <c r="AM208" s="9"/>
      <c r="AN208" s="9"/>
    </row>
    <row r="209" spans="1:40" s="8" customFormat="1" ht="17.100000000000001" customHeight="1" x14ac:dyDescent="0.3">
      <c r="A209" s="27" t="s">
        <v>18</v>
      </c>
      <c r="B209" s="34">
        <v>1</v>
      </c>
      <c r="C209" s="33">
        <v>2</v>
      </c>
      <c r="D209" s="33">
        <v>3</v>
      </c>
      <c r="E209" s="33">
        <v>4</v>
      </c>
      <c r="F209" s="33">
        <v>5</v>
      </c>
      <c r="G209" s="33">
        <v>6</v>
      </c>
      <c r="H209" s="34">
        <v>7</v>
      </c>
      <c r="I209" s="34">
        <v>8</v>
      </c>
      <c r="J209" s="33">
        <v>9</v>
      </c>
      <c r="K209" s="33">
        <v>10</v>
      </c>
      <c r="L209" s="33">
        <v>11</v>
      </c>
      <c r="M209" s="33">
        <v>12</v>
      </c>
      <c r="N209" s="33">
        <v>13</v>
      </c>
      <c r="O209" s="34">
        <v>14</v>
      </c>
      <c r="P209" s="34">
        <v>15</v>
      </c>
      <c r="Q209" s="33">
        <v>16</v>
      </c>
      <c r="R209" s="33">
        <v>17</v>
      </c>
      <c r="S209" s="33">
        <v>18</v>
      </c>
      <c r="T209" s="33">
        <v>19</v>
      </c>
      <c r="U209" s="33">
        <v>20</v>
      </c>
      <c r="V209" s="34">
        <v>21</v>
      </c>
      <c r="W209" s="34">
        <v>22</v>
      </c>
      <c r="X209" s="33">
        <v>23</v>
      </c>
      <c r="Y209" s="33">
        <v>24</v>
      </c>
      <c r="Z209" s="33">
        <v>25</v>
      </c>
      <c r="AA209" s="33">
        <v>26</v>
      </c>
      <c r="AB209" s="33">
        <v>27</v>
      </c>
      <c r="AC209" s="34">
        <v>28</v>
      </c>
      <c r="AD209" s="34">
        <v>29</v>
      </c>
      <c r="AE209" s="33">
        <v>30</v>
      </c>
      <c r="AF209" s="31"/>
      <c r="AG209" s="57">
        <f t="shared" si="12"/>
        <v>0</v>
      </c>
      <c r="AH209" s="15"/>
      <c r="AI209" s="9"/>
      <c r="AJ209" s="9"/>
      <c r="AK209" s="9"/>
      <c r="AL209" s="9"/>
      <c r="AM209" s="9"/>
      <c r="AN209" s="9"/>
    </row>
    <row r="210" spans="1:40" s="8" customFormat="1" ht="17.100000000000001" customHeight="1" x14ac:dyDescent="0.3">
      <c r="A210" s="16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8"/>
      <c r="AH210" s="15"/>
      <c r="AI210" s="9"/>
      <c r="AJ210" s="9"/>
      <c r="AK210" s="9"/>
      <c r="AL210" s="9"/>
      <c r="AM210" s="9"/>
      <c r="AN210" s="9"/>
    </row>
    <row r="211" spans="1:40" s="8" customFormat="1" ht="17.100000000000001" customHeight="1" x14ac:dyDescent="0.3">
      <c r="A211" s="22">
        <v>46357</v>
      </c>
      <c r="B211" s="58" t="s">
        <v>1</v>
      </c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15"/>
      <c r="AI211" s="9"/>
      <c r="AJ211" s="9"/>
      <c r="AK211" s="9"/>
      <c r="AL211" s="9"/>
      <c r="AM211" s="9"/>
      <c r="AN211" s="9"/>
    </row>
    <row r="212" spans="1:40" s="8" customFormat="1" ht="17.100000000000001" customHeight="1" x14ac:dyDescent="0.3">
      <c r="A212" s="13" t="s">
        <v>2</v>
      </c>
      <c r="B212" s="32" t="s">
        <v>6</v>
      </c>
      <c r="C212" s="32" t="s">
        <v>5</v>
      </c>
      <c r="D212" s="32" t="s">
        <v>6</v>
      </c>
      <c r="E212" s="32" t="s">
        <v>3</v>
      </c>
      <c r="F212" s="32" t="s">
        <v>4</v>
      </c>
      <c r="G212" s="32" t="s">
        <v>4</v>
      </c>
      <c r="H212" s="32" t="s">
        <v>5</v>
      </c>
      <c r="I212" s="32" t="s">
        <v>6</v>
      </c>
      <c r="J212" s="32" t="s">
        <v>5</v>
      </c>
      <c r="K212" s="32" t="s">
        <v>6</v>
      </c>
      <c r="L212" s="32" t="s">
        <v>3</v>
      </c>
      <c r="M212" s="32" t="s">
        <v>4</v>
      </c>
      <c r="N212" s="32" t="s">
        <v>4</v>
      </c>
      <c r="O212" s="32" t="s">
        <v>5</v>
      </c>
      <c r="P212" s="32" t="s">
        <v>6</v>
      </c>
      <c r="Q212" s="32" t="s">
        <v>5</v>
      </c>
      <c r="R212" s="32" t="s">
        <v>6</v>
      </c>
      <c r="S212" s="32" t="s">
        <v>3</v>
      </c>
      <c r="T212" s="32" t="s">
        <v>4</v>
      </c>
      <c r="U212" s="32" t="s">
        <v>4</v>
      </c>
      <c r="V212" s="32" t="s">
        <v>5</v>
      </c>
      <c r="W212" s="32" t="s">
        <v>6</v>
      </c>
      <c r="X212" s="32" t="s">
        <v>5</v>
      </c>
      <c r="Y212" s="32" t="s">
        <v>6</v>
      </c>
      <c r="Z212" s="32" t="s">
        <v>3</v>
      </c>
      <c r="AA212" s="32" t="s">
        <v>4</v>
      </c>
      <c r="AB212" s="32" t="s">
        <v>4</v>
      </c>
      <c r="AC212" s="32" t="s">
        <v>5</v>
      </c>
      <c r="AD212" s="32" t="s">
        <v>6</v>
      </c>
      <c r="AE212" s="32" t="s">
        <v>5</v>
      </c>
      <c r="AF212" s="32" t="s">
        <v>6</v>
      </c>
      <c r="AG212" s="21" t="s">
        <v>7</v>
      </c>
      <c r="AH212" s="15"/>
      <c r="AI212" s="9"/>
      <c r="AJ212" s="9"/>
      <c r="AK212" s="9"/>
      <c r="AL212" s="9"/>
      <c r="AM212" s="9"/>
      <c r="AN212" s="9"/>
    </row>
    <row r="213" spans="1:40" s="8" customFormat="1" ht="17.100000000000001" customHeight="1" x14ac:dyDescent="0.3">
      <c r="A213" s="27" t="s">
        <v>8</v>
      </c>
      <c r="B213" s="33">
        <v>1</v>
      </c>
      <c r="C213" s="33">
        <v>2</v>
      </c>
      <c r="D213" s="33">
        <v>3</v>
      </c>
      <c r="E213" s="33">
        <v>4</v>
      </c>
      <c r="F213" s="34">
        <v>5</v>
      </c>
      <c r="G213" s="34">
        <v>7</v>
      </c>
      <c r="H213" s="33">
        <v>7</v>
      </c>
      <c r="I213" s="33">
        <v>8</v>
      </c>
      <c r="J213" s="33">
        <v>9</v>
      </c>
      <c r="K213" s="33">
        <v>10</v>
      </c>
      <c r="L213" s="33">
        <v>11</v>
      </c>
      <c r="M213" s="34">
        <v>12</v>
      </c>
      <c r="N213" s="34">
        <v>13</v>
      </c>
      <c r="O213" s="33">
        <v>14</v>
      </c>
      <c r="P213" s="33">
        <v>15</v>
      </c>
      <c r="Q213" s="33">
        <v>16</v>
      </c>
      <c r="R213" s="33">
        <v>17</v>
      </c>
      <c r="S213" s="33">
        <v>18</v>
      </c>
      <c r="T213" s="34">
        <v>19</v>
      </c>
      <c r="U213" s="34">
        <v>20</v>
      </c>
      <c r="V213" s="33">
        <v>21</v>
      </c>
      <c r="W213" s="33">
        <v>22</v>
      </c>
      <c r="X213" s="33">
        <v>23</v>
      </c>
      <c r="Y213" s="33">
        <v>24</v>
      </c>
      <c r="Z213" s="33">
        <v>25</v>
      </c>
      <c r="AA213" s="34">
        <v>26</v>
      </c>
      <c r="AB213" s="34">
        <v>27</v>
      </c>
      <c r="AC213" s="33">
        <v>28</v>
      </c>
      <c r="AD213" s="33">
        <v>29</v>
      </c>
      <c r="AE213" s="33">
        <v>30</v>
      </c>
      <c r="AF213" s="33">
        <v>31</v>
      </c>
      <c r="AG213" s="57">
        <f t="shared" ref="AG213:AG228" si="13">COUNTIF($B213:$AF213,"U")</f>
        <v>0</v>
      </c>
      <c r="AH213" s="15"/>
      <c r="AI213" s="9"/>
      <c r="AJ213" s="9"/>
      <c r="AK213" s="9"/>
      <c r="AL213" s="9"/>
      <c r="AM213" s="9"/>
      <c r="AN213" s="9"/>
    </row>
    <row r="214" spans="1:40" s="8" customFormat="1" ht="17.100000000000001" customHeight="1" x14ac:dyDescent="0.3">
      <c r="A214" s="28" t="s">
        <v>14</v>
      </c>
      <c r="B214" s="33">
        <v>1</v>
      </c>
      <c r="C214" s="33">
        <v>2</v>
      </c>
      <c r="D214" s="33">
        <v>3</v>
      </c>
      <c r="E214" s="33">
        <v>4</v>
      </c>
      <c r="F214" s="34">
        <v>5</v>
      </c>
      <c r="G214" s="34">
        <v>6</v>
      </c>
      <c r="H214" s="33">
        <v>7</v>
      </c>
      <c r="I214" s="33">
        <v>8</v>
      </c>
      <c r="J214" s="33">
        <v>9</v>
      </c>
      <c r="K214" s="33">
        <v>10</v>
      </c>
      <c r="L214" s="33">
        <v>11</v>
      </c>
      <c r="M214" s="34">
        <v>12</v>
      </c>
      <c r="N214" s="34">
        <v>13</v>
      </c>
      <c r="O214" s="33">
        <v>14</v>
      </c>
      <c r="P214" s="33">
        <v>15</v>
      </c>
      <c r="Q214" s="33">
        <v>16</v>
      </c>
      <c r="R214" s="33">
        <v>17</v>
      </c>
      <c r="S214" s="33">
        <v>18</v>
      </c>
      <c r="T214" s="34">
        <v>19</v>
      </c>
      <c r="U214" s="34">
        <v>20</v>
      </c>
      <c r="V214" s="33">
        <v>21</v>
      </c>
      <c r="W214" s="33">
        <v>22</v>
      </c>
      <c r="X214" s="33">
        <v>23</v>
      </c>
      <c r="Y214" s="33">
        <v>24</v>
      </c>
      <c r="Z214" s="33">
        <v>25</v>
      </c>
      <c r="AA214" s="34">
        <v>26</v>
      </c>
      <c r="AB214" s="34">
        <v>27</v>
      </c>
      <c r="AC214" s="33">
        <v>28</v>
      </c>
      <c r="AD214" s="33">
        <v>29</v>
      </c>
      <c r="AE214" s="33">
        <v>30</v>
      </c>
      <c r="AF214" s="33">
        <v>31</v>
      </c>
      <c r="AG214" s="57">
        <f t="shared" si="13"/>
        <v>0</v>
      </c>
      <c r="AH214" s="15"/>
      <c r="AI214" s="9"/>
      <c r="AJ214" s="9"/>
      <c r="AK214" s="9"/>
      <c r="AL214" s="9"/>
      <c r="AM214" s="9"/>
      <c r="AN214" s="9"/>
    </row>
    <row r="215" spans="1:40" s="8" customFormat="1" ht="17.100000000000001" customHeight="1" x14ac:dyDescent="0.3">
      <c r="A215" s="27" t="s">
        <v>9</v>
      </c>
      <c r="B215" s="33">
        <v>1</v>
      </c>
      <c r="C215" s="33">
        <v>2</v>
      </c>
      <c r="D215" s="33">
        <v>3</v>
      </c>
      <c r="E215" s="33">
        <v>4</v>
      </c>
      <c r="F215" s="34">
        <v>5</v>
      </c>
      <c r="G215" s="34">
        <v>6</v>
      </c>
      <c r="H215" s="33">
        <v>7</v>
      </c>
      <c r="I215" s="33">
        <v>8</v>
      </c>
      <c r="J215" s="33">
        <v>9</v>
      </c>
      <c r="K215" s="33">
        <v>10</v>
      </c>
      <c r="L215" s="33">
        <v>11</v>
      </c>
      <c r="M215" s="34">
        <v>12</v>
      </c>
      <c r="N215" s="34">
        <v>13</v>
      </c>
      <c r="O215" s="33">
        <v>14</v>
      </c>
      <c r="P215" s="33">
        <v>15</v>
      </c>
      <c r="Q215" s="33">
        <v>16</v>
      </c>
      <c r="R215" s="33">
        <v>17</v>
      </c>
      <c r="S215" s="33">
        <v>18</v>
      </c>
      <c r="T215" s="34">
        <v>19</v>
      </c>
      <c r="U215" s="34">
        <v>20</v>
      </c>
      <c r="V215" s="33">
        <v>21</v>
      </c>
      <c r="W215" s="33">
        <v>22</v>
      </c>
      <c r="X215" s="33">
        <v>23</v>
      </c>
      <c r="Y215" s="33">
        <v>24</v>
      </c>
      <c r="Z215" s="33">
        <v>25</v>
      </c>
      <c r="AA215" s="34">
        <v>26</v>
      </c>
      <c r="AB215" s="34">
        <v>27</v>
      </c>
      <c r="AC215" s="33">
        <v>28</v>
      </c>
      <c r="AD215" s="33">
        <v>29</v>
      </c>
      <c r="AE215" s="33">
        <v>30</v>
      </c>
      <c r="AF215" s="33">
        <v>31</v>
      </c>
      <c r="AG215" s="57">
        <f t="shared" si="13"/>
        <v>0</v>
      </c>
      <c r="AH215" s="15"/>
      <c r="AI215" s="9"/>
      <c r="AJ215" s="9"/>
      <c r="AK215" s="9"/>
      <c r="AL215" s="9"/>
      <c r="AM215" s="9"/>
      <c r="AN215" s="9"/>
    </row>
    <row r="216" spans="1:40" s="8" customFormat="1" ht="17.100000000000001" customHeight="1" x14ac:dyDescent="0.3">
      <c r="A216" s="28" t="s">
        <v>10</v>
      </c>
      <c r="B216" s="33">
        <v>1</v>
      </c>
      <c r="C216" s="33">
        <v>2</v>
      </c>
      <c r="D216" s="33">
        <v>3</v>
      </c>
      <c r="E216" s="33">
        <v>4</v>
      </c>
      <c r="F216" s="34">
        <v>5</v>
      </c>
      <c r="G216" s="34">
        <v>6</v>
      </c>
      <c r="H216" s="33">
        <v>7</v>
      </c>
      <c r="I216" s="33">
        <v>8</v>
      </c>
      <c r="J216" s="33">
        <v>9</v>
      </c>
      <c r="K216" s="33">
        <v>10</v>
      </c>
      <c r="L216" s="33">
        <v>11</v>
      </c>
      <c r="M216" s="34">
        <v>12</v>
      </c>
      <c r="N216" s="34">
        <v>13</v>
      </c>
      <c r="O216" s="33">
        <v>14</v>
      </c>
      <c r="P216" s="33">
        <v>15</v>
      </c>
      <c r="Q216" s="33">
        <v>16</v>
      </c>
      <c r="R216" s="33">
        <v>17</v>
      </c>
      <c r="S216" s="33">
        <v>18</v>
      </c>
      <c r="T216" s="34">
        <v>19</v>
      </c>
      <c r="U216" s="34">
        <v>20</v>
      </c>
      <c r="V216" s="33">
        <v>21</v>
      </c>
      <c r="W216" s="33">
        <v>22</v>
      </c>
      <c r="X216" s="33">
        <v>23</v>
      </c>
      <c r="Y216" s="33">
        <v>24</v>
      </c>
      <c r="Z216" s="33">
        <v>25</v>
      </c>
      <c r="AA216" s="34">
        <v>26</v>
      </c>
      <c r="AB216" s="34">
        <v>27</v>
      </c>
      <c r="AC216" s="47" t="s">
        <v>22</v>
      </c>
      <c r="AD216" s="47" t="s">
        <v>22</v>
      </c>
      <c r="AE216" s="47" t="s">
        <v>22</v>
      </c>
      <c r="AF216" s="47" t="s">
        <v>22</v>
      </c>
      <c r="AG216" s="57">
        <f t="shared" si="13"/>
        <v>4</v>
      </c>
      <c r="AH216" s="15"/>
      <c r="AI216" s="9"/>
      <c r="AJ216" s="9"/>
      <c r="AK216" s="9"/>
      <c r="AL216" s="9"/>
      <c r="AM216" s="9"/>
      <c r="AN216" s="9"/>
    </row>
    <row r="217" spans="1:40" s="8" customFormat="1" ht="17.100000000000001" customHeight="1" x14ac:dyDescent="0.3">
      <c r="A217" s="27" t="s">
        <v>15</v>
      </c>
      <c r="B217" s="33">
        <v>1</v>
      </c>
      <c r="C217" s="33">
        <v>2</v>
      </c>
      <c r="D217" s="33">
        <v>3</v>
      </c>
      <c r="E217" s="33">
        <v>4</v>
      </c>
      <c r="F217" s="34">
        <v>5</v>
      </c>
      <c r="G217" s="34">
        <v>6</v>
      </c>
      <c r="H217" s="33">
        <v>7</v>
      </c>
      <c r="I217" s="33">
        <v>8</v>
      </c>
      <c r="J217" s="33">
        <v>9</v>
      </c>
      <c r="K217" s="33">
        <v>10</v>
      </c>
      <c r="L217" s="33">
        <v>11</v>
      </c>
      <c r="M217" s="34">
        <v>12</v>
      </c>
      <c r="N217" s="34">
        <v>13</v>
      </c>
      <c r="O217" s="33">
        <v>14</v>
      </c>
      <c r="P217" s="33">
        <v>15</v>
      </c>
      <c r="Q217" s="33">
        <v>16</v>
      </c>
      <c r="R217" s="33">
        <v>17</v>
      </c>
      <c r="S217" s="33">
        <v>18</v>
      </c>
      <c r="T217" s="34">
        <v>19</v>
      </c>
      <c r="U217" s="34">
        <v>20</v>
      </c>
      <c r="V217" s="40" t="s">
        <v>22</v>
      </c>
      <c r="W217" s="40" t="s">
        <v>22</v>
      </c>
      <c r="X217" s="40" t="s">
        <v>22</v>
      </c>
      <c r="Y217" s="40">
        <v>0.5</v>
      </c>
      <c r="Z217" s="33">
        <v>25</v>
      </c>
      <c r="AA217" s="34">
        <v>26</v>
      </c>
      <c r="AB217" s="34">
        <v>27</v>
      </c>
      <c r="AC217" s="33">
        <v>28</v>
      </c>
      <c r="AD217" s="33">
        <v>29</v>
      </c>
      <c r="AE217" s="33">
        <v>30</v>
      </c>
      <c r="AF217" s="33">
        <v>31</v>
      </c>
      <c r="AG217" s="57">
        <f>COUNTIF($B217:$AF217,"U")+0.5</f>
        <v>3.5</v>
      </c>
      <c r="AH217" s="15"/>
      <c r="AI217" s="9"/>
      <c r="AJ217" s="9"/>
      <c r="AK217" s="9"/>
      <c r="AL217" s="9"/>
      <c r="AM217" s="9"/>
      <c r="AN217" s="9"/>
    </row>
    <row r="218" spans="1:40" s="8" customFormat="1" ht="17.100000000000001" customHeight="1" x14ac:dyDescent="0.3">
      <c r="A218" s="28" t="s">
        <v>29</v>
      </c>
      <c r="B218" s="33">
        <v>1</v>
      </c>
      <c r="C218" s="33">
        <v>2</v>
      </c>
      <c r="D218" s="33">
        <v>3</v>
      </c>
      <c r="E218" s="33">
        <v>4</v>
      </c>
      <c r="F218" s="34">
        <v>5</v>
      </c>
      <c r="G218" s="34">
        <v>6</v>
      </c>
      <c r="H218" s="33">
        <v>7</v>
      </c>
      <c r="I218" s="33">
        <v>8</v>
      </c>
      <c r="J218" s="33">
        <v>9</v>
      </c>
      <c r="K218" s="33">
        <v>10</v>
      </c>
      <c r="L218" s="33">
        <v>11</v>
      </c>
      <c r="M218" s="34">
        <v>12</v>
      </c>
      <c r="N218" s="34">
        <v>13</v>
      </c>
      <c r="O218" s="33">
        <v>14</v>
      </c>
      <c r="P218" s="33">
        <v>15</v>
      </c>
      <c r="Q218" s="33">
        <v>16</v>
      </c>
      <c r="R218" s="33">
        <v>17</v>
      </c>
      <c r="S218" s="33">
        <v>18</v>
      </c>
      <c r="T218" s="34">
        <v>19</v>
      </c>
      <c r="U218" s="34">
        <v>20</v>
      </c>
      <c r="V218" s="33">
        <v>21</v>
      </c>
      <c r="W218" s="33">
        <v>22</v>
      </c>
      <c r="X218" s="33">
        <v>23</v>
      </c>
      <c r="Y218" s="33">
        <v>24</v>
      </c>
      <c r="Z218" s="33">
        <v>25</v>
      </c>
      <c r="AA218" s="34">
        <v>26</v>
      </c>
      <c r="AB218" s="34">
        <v>27</v>
      </c>
      <c r="AC218" s="33">
        <v>28</v>
      </c>
      <c r="AD218" s="33">
        <v>29</v>
      </c>
      <c r="AE218" s="33">
        <v>30</v>
      </c>
      <c r="AF218" s="33">
        <v>31</v>
      </c>
      <c r="AG218" s="57">
        <f t="shared" si="13"/>
        <v>0</v>
      </c>
      <c r="AH218" s="15"/>
      <c r="AI218" s="9"/>
      <c r="AJ218" s="9"/>
      <c r="AK218" s="9"/>
      <c r="AL218" s="9"/>
      <c r="AM218" s="9"/>
      <c r="AN218" s="9"/>
    </row>
    <row r="219" spans="1:40" s="8" customFormat="1" ht="17.100000000000001" customHeight="1" x14ac:dyDescent="0.3">
      <c r="A219" s="29" t="s">
        <v>21</v>
      </c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57"/>
      <c r="AH219" s="15"/>
      <c r="AI219" s="9"/>
      <c r="AJ219" s="9"/>
      <c r="AK219" s="12"/>
      <c r="AL219" s="12"/>
      <c r="AM219" s="9"/>
      <c r="AN219" s="9"/>
    </row>
    <row r="220" spans="1:40" s="8" customFormat="1" ht="17.100000000000001" customHeight="1" x14ac:dyDescent="0.3">
      <c r="A220" s="30" t="s">
        <v>28</v>
      </c>
      <c r="B220" s="33">
        <v>1</v>
      </c>
      <c r="C220" s="33">
        <v>2</v>
      </c>
      <c r="D220" s="33">
        <v>3</v>
      </c>
      <c r="E220" s="33">
        <v>4</v>
      </c>
      <c r="F220" s="34">
        <v>5</v>
      </c>
      <c r="G220" s="34">
        <v>6</v>
      </c>
      <c r="H220" s="33">
        <v>7</v>
      </c>
      <c r="I220" s="33">
        <v>8</v>
      </c>
      <c r="J220" s="33">
        <v>9</v>
      </c>
      <c r="K220" s="33">
        <v>10</v>
      </c>
      <c r="L220" s="33">
        <v>11</v>
      </c>
      <c r="M220" s="34">
        <v>12</v>
      </c>
      <c r="N220" s="34">
        <v>13</v>
      </c>
      <c r="O220" s="33">
        <v>14</v>
      </c>
      <c r="P220" s="33">
        <v>15</v>
      </c>
      <c r="Q220" s="33">
        <v>16</v>
      </c>
      <c r="R220" s="33">
        <v>17</v>
      </c>
      <c r="S220" s="33">
        <v>18</v>
      </c>
      <c r="T220" s="34">
        <v>19</v>
      </c>
      <c r="U220" s="34">
        <v>20</v>
      </c>
      <c r="V220" s="33">
        <v>21</v>
      </c>
      <c r="W220" s="33">
        <v>22</v>
      </c>
      <c r="X220" s="33">
        <v>23</v>
      </c>
      <c r="Y220" s="33">
        <v>24</v>
      </c>
      <c r="Z220" s="33">
        <v>25</v>
      </c>
      <c r="AA220" s="34">
        <v>26</v>
      </c>
      <c r="AB220" s="34">
        <v>27</v>
      </c>
      <c r="AC220" s="33">
        <v>28</v>
      </c>
      <c r="AD220" s="33">
        <v>29</v>
      </c>
      <c r="AE220" s="33">
        <v>30</v>
      </c>
      <c r="AF220" s="33">
        <v>31</v>
      </c>
      <c r="AG220" s="57">
        <f t="shared" si="13"/>
        <v>0</v>
      </c>
      <c r="AH220" s="15"/>
      <c r="AI220" s="9"/>
      <c r="AJ220" s="9"/>
      <c r="AK220" s="9"/>
      <c r="AL220" s="9"/>
      <c r="AM220" s="9"/>
      <c r="AN220" s="9"/>
    </row>
    <row r="221" spans="1:40" ht="17.100000000000001" customHeight="1" x14ac:dyDescent="0.25">
      <c r="A221" s="27" t="s">
        <v>17</v>
      </c>
      <c r="B221" s="46" t="s">
        <v>22</v>
      </c>
      <c r="C221" s="46" t="s">
        <v>22</v>
      </c>
      <c r="D221" s="46" t="s">
        <v>22</v>
      </c>
      <c r="E221" s="46" t="s">
        <v>22</v>
      </c>
      <c r="F221" s="34">
        <v>5</v>
      </c>
      <c r="G221" s="34">
        <v>6</v>
      </c>
      <c r="H221" s="46" t="s">
        <v>22</v>
      </c>
      <c r="I221" s="46" t="s">
        <v>22</v>
      </c>
      <c r="J221" s="46" t="s">
        <v>22</v>
      </c>
      <c r="K221" s="46" t="s">
        <v>22</v>
      </c>
      <c r="L221" s="46" t="s">
        <v>22</v>
      </c>
      <c r="M221" s="34">
        <v>12</v>
      </c>
      <c r="N221" s="34">
        <v>13</v>
      </c>
      <c r="O221" s="33">
        <v>14</v>
      </c>
      <c r="P221" s="33">
        <v>15</v>
      </c>
      <c r="Q221" s="33">
        <v>16</v>
      </c>
      <c r="R221" s="33">
        <v>17</v>
      </c>
      <c r="S221" s="33">
        <v>18</v>
      </c>
      <c r="T221" s="34">
        <v>19</v>
      </c>
      <c r="U221" s="34">
        <v>20</v>
      </c>
      <c r="V221" s="33">
        <v>21</v>
      </c>
      <c r="W221" s="33">
        <v>22</v>
      </c>
      <c r="X221" s="33">
        <v>23</v>
      </c>
      <c r="Y221" s="46">
        <v>24</v>
      </c>
      <c r="Z221" s="48">
        <v>25</v>
      </c>
      <c r="AA221" s="46">
        <v>26</v>
      </c>
      <c r="AB221" s="46">
        <v>27</v>
      </c>
      <c r="AC221" s="46" t="s">
        <v>22</v>
      </c>
      <c r="AD221" s="46" t="s">
        <v>22</v>
      </c>
      <c r="AE221" s="46" t="s">
        <v>22</v>
      </c>
      <c r="AF221" s="46" t="s">
        <v>22</v>
      </c>
      <c r="AG221" s="57">
        <f t="shared" si="13"/>
        <v>13</v>
      </c>
      <c r="AH221" s="15"/>
      <c r="AI221" s="9"/>
      <c r="AJ221" s="9"/>
      <c r="AK221" s="9"/>
      <c r="AL221" s="9"/>
      <c r="AM221" s="9"/>
      <c r="AN221" s="9"/>
    </row>
    <row r="222" spans="1:40" s="7" customFormat="1" ht="20.100000000000001" customHeight="1" x14ac:dyDescent="0.25">
      <c r="A222" s="30" t="s">
        <v>16</v>
      </c>
      <c r="B222" s="33">
        <v>1</v>
      </c>
      <c r="C222" s="33">
        <v>2</v>
      </c>
      <c r="D222" s="33">
        <v>3</v>
      </c>
      <c r="E222" s="33">
        <v>4</v>
      </c>
      <c r="F222" s="34">
        <v>5</v>
      </c>
      <c r="G222" s="34">
        <v>6</v>
      </c>
      <c r="H222" s="33">
        <v>7</v>
      </c>
      <c r="I222" s="33">
        <v>8</v>
      </c>
      <c r="J222" s="33">
        <v>9</v>
      </c>
      <c r="K222" s="33">
        <v>10</v>
      </c>
      <c r="L222" s="33">
        <v>11</v>
      </c>
      <c r="M222" s="34">
        <v>12</v>
      </c>
      <c r="N222" s="34">
        <v>13</v>
      </c>
      <c r="O222" s="33">
        <v>14</v>
      </c>
      <c r="P222" s="33">
        <v>15</v>
      </c>
      <c r="Q222" s="33">
        <v>16</v>
      </c>
      <c r="R222" s="33">
        <v>17</v>
      </c>
      <c r="S222" s="33">
        <v>18</v>
      </c>
      <c r="T222" s="34">
        <v>19</v>
      </c>
      <c r="U222" s="34">
        <v>20</v>
      </c>
      <c r="V222" s="33">
        <v>21</v>
      </c>
      <c r="W222" s="33">
        <v>22</v>
      </c>
      <c r="X222" s="33">
        <v>23</v>
      </c>
      <c r="Y222" s="47" t="s">
        <v>22</v>
      </c>
      <c r="Z222" s="49">
        <v>25</v>
      </c>
      <c r="AA222" s="47">
        <v>26</v>
      </c>
      <c r="AB222" s="47">
        <v>27</v>
      </c>
      <c r="AC222" s="47" t="s">
        <v>22</v>
      </c>
      <c r="AD222" s="47" t="s">
        <v>22</v>
      </c>
      <c r="AE222" s="47" t="s">
        <v>22</v>
      </c>
      <c r="AF222" s="47">
        <v>0.5</v>
      </c>
      <c r="AG222" s="57">
        <f t="shared" si="13"/>
        <v>4</v>
      </c>
      <c r="AH222" s="11"/>
      <c r="AI222" s="12"/>
      <c r="AJ222" s="12"/>
      <c r="AK222" s="9"/>
      <c r="AL222" s="9"/>
      <c r="AM222" s="12"/>
      <c r="AN222" s="12"/>
    </row>
    <row r="223" spans="1:40" s="8" customFormat="1" ht="17.100000000000001" customHeight="1" x14ac:dyDescent="0.3">
      <c r="A223" s="29" t="s">
        <v>20</v>
      </c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57"/>
      <c r="AH223" s="15"/>
      <c r="AI223" s="9"/>
      <c r="AJ223" s="9"/>
      <c r="AK223" s="9"/>
      <c r="AL223" s="9"/>
      <c r="AM223" s="9"/>
      <c r="AN223" s="9"/>
    </row>
    <row r="224" spans="1:40" s="8" customFormat="1" ht="17.100000000000001" customHeight="1" x14ac:dyDescent="0.3">
      <c r="A224" s="27" t="s">
        <v>11</v>
      </c>
      <c r="B224" s="33">
        <v>1</v>
      </c>
      <c r="C224" s="33">
        <v>2</v>
      </c>
      <c r="D224" s="33">
        <v>3</v>
      </c>
      <c r="E224" s="33">
        <v>4</v>
      </c>
      <c r="F224" s="34">
        <v>5</v>
      </c>
      <c r="G224" s="34">
        <v>6</v>
      </c>
      <c r="H224" s="33">
        <v>7</v>
      </c>
      <c r="I224" s="33">
        <v>8</v>
      </c>
      <c r="J224" s="33">
        <v>9</v>
      </c>
      <c r="K224" s="33">
        <v>10</v>
      </c>
      <c r="L224" s="33">
        <v>11</v>
      </c>
      <c r="M224" s="34">
        <v>12</v>
      </c>
      <c r="N224" s="34">
        <v>13</v>
      </c>
      <c r="O224" s="33">
        <v>14</v>
      </c>
      <c r="P224" s="33">
        <v>15</v>
      </c>
      <c r="Q224" s="33">
        <v>16</v>
      </c>
      <c r="R224" s="33">
        <v>17</v>
      </c>
      <c r="S224" s="33">
        <v>18</v>
      </c>
      <c r="T224" s="34">
        <v>19</v>
      </c>
      <c r="U224" s="34">
        <v>20</v>
      </c>
      <c r="V224" s="38" t="s">
        <v>22</v>
      </c>
      <c r="W224" s="38" t="s">
        <v>22</v>
      </c>
      <c r="X224" s="38" t="s">
        <v>22</v>
      </c>
      <c r="Y224" s="38" t="s">
        <v>22</v>
      </c>
      <c r="Z224" s="38">
        <v>25</v>
      </c>
      <c r="AA224" s="34">
        <v>26</v>
      </c>
      <c r="AB224" s="34">
        <v>27</v>
      </c>
      <c r="AC224" s="33">
        <v>28</v>
      </c>
      <c r="AD224" s="33">
        <v>29</v>
      </c>
      <c r="AE224" s="33">
        <v>30</v>
      </c>
      <c r="AF224" s="33">
        <v>31</v>
      </c>
      <c r="AG224" s="57">
        <f t="shared" si="13"/>
        <v>4</v>
      </c>
      <c r="AH224" s="15"/>
      <c r="AI224" s="9"/>
      <c r="AJ224" s="9"/>
      <c r="AK224" s="9"/>
      <c r="AL224" s="9"/>
      <c r="AM224" s="9"/>
      <c r="AN224" s="9"/>
    </row>
    <row r="225" spans="1:40" s="8" customFormat="1" ht="17.100000000000001" customHeight="1" x14ac:dyDescent="0.3">
      <c r="A225" s="28" t="s">
        <v>12</v>
      </c>
      <c r="B225" s="33">
        <v>1</v>
      </c>
      <c r="C225" s="33">
        <v>2</v>
      </c>
      <c r="D225" s="33">
        <v>3</v>
      </c>
      <c r="E225" s="33">
        <v>4</v>
      </c>
      <c r="F225" s="34">
        <v>5</v>
      </c>
      <c r="G225" s="34">
        <v>6</v>
      </c>
      <c r="H225" s="33">
        <v>7</v>
      </c>
      <c r="I225" s="33">
        <v>8</v>
      </c>
      <c r="J225" s="33">
        <v>9</v>
      </c>
      <c r="K225" s="33">
        <v>10</v>
      </c>
      <c r="L225" s="33">
        <v>11</v>
      </c>
      <c r="M225" s="34">
        <v>12</v>
      </c>
      <c r="N225" s="34">
        <v>13</v>
      </c>
      <c r="O225" s="33">
        <v>14</v>
      </c>
      <c r="P225" s="33">
        <v>15</v>
      </c>
      <c r="Q225" s="33">
        <v>16</v>
      </c>
      <c r="R225" s="33">
        <v>17</v>
      </c>
      <c r="S225" s="33">
        <v>18</v>
      </c>
      <c r="T225" s="34">
        <v>19</v>
      </c>
      <c r="U225" s="34">
        <v>20</v>
      </c>
      <c r="V225" s="33">
        <v>21</v>
      </c>
      <c r="W225" s="33">
        <v>22</v>
      </c>
      <c r="X225" s="33">
        <v>23</v>
      </c>
      <c r="Y225" s="46">
        <v>24</v>
      </c>
      <c r="Z225" s="46">
        <v>25</v>
      </c>
      <c r="AA225" s="34">
        <v>26</v>
      </c>
      <c r="AB225" s="34">
        <v>27</v>
      </c>
      <c r="AC225" s="46" t="s">
        <v>22</v>
      </c>
      <c r="AD225" s="46" t="s">
        <v>22</v>
      </c>
      <c r="AE225" s="46" t="s">
        <v>22</v>
      </c>
      <c r="AF225" s="46" t="s">
        <v>22</v>
      </c>
      <c r="AG225" s="57">
        <f t="shared" si="13"/>
        <v>4</v>
      </c>
      <c r="AH225" s="15"/>
      <c r="AI225" s="9"/>
      <c r="AJ225" s="9"/>
      <c r="AK225" s="9"/>
      <c r="AL225" s="9"/>
      <c r="AM225" s="9"/>
      <c r="AN225" s="9"/>
    </row>
    <row r="226" spans="1:40" s="8" customFormat="1" ht="17.100000000000001" customHeight="1" x14ac:dyDescent="0.3">
      <c r="A226" s="27" t="s">
        <v>13</v>
      </c>
      <c r="B226" s="33">
        <v>1</v>
      </c>
      <c r="C226" s="33">
        <v>2</v>
      </c>
      <c r="D226" s="33">
        <v>3</v>
      </c>
      <c r="E226" s="33">
        <v>4</v>
      </c>
      <c r="F226" s="34">
        <v>5</v>
      </c>
      <c r="G226" s="34">
        <v>6</v>
      </c>
      <c r="H226" s="33">
        <v>7</v>
      </c>
      <c r="I226" s="33">
        <v>8</v>
      </c>
      <c r="J226" s="33">
        <v>9</v>
      </c>
      <c r="K226" s="33">
        <v>10</v>
      </c>
      <c r="L226" s="33">
        <v>11</v>
      </c>
      <c r="M226" s="34">
        <v>12</v>
      </c>
      <c r="N226" s="34">
        <v>13</v>
      </c>
      <c r="O226" s="33">
        <v>14</v>
      </c>
      <c r="P226" s="33">
        <v>15</v>
      </c>
      <c r="Q226" s="33">
        <v>16</v>
      </c>
      <c r="R226" s="33">
        <v>17</v>
      </c>
      <c r="S226" s="33">
        <v>18</v>
      </c>
      <c r="T226" s="34">
        <v>19</v>
      </c>
      <c r="U226" s="34">
        <v>20</v>
      </c>
      <c r="V226" s="33">
        <v>21</v>
      </c>
      <c r="W226" s="33">
        <v>22</v>
      </c>
      <c r="X226" s="33">
        <v>23</v>
      </c>
      <c r="Y226" s="33">
        <v>24</v>
      </c>
      <c r="Z226" s="33">
        <v>25</v>
      </c>
      <c r="AA226" s="34">
        <v>26</v>
      </c>
      <c r="AB226" s="34">
        <v>27</v>
      </c>
      <c r="AC226" s="33">
        <v>28</v>
      </c>
      <c r="AD226" s="33">
        <v>29</v>
      </c>
      <c r="AE226" s="33">
        <v>30</v>
      </c>
      <c r="AF226" s="33">
        <v>31</v>
      </c>
      <c r="AG226" s="57">
        <f t="shared" si="13"/>
        <v>0</v>
      </c>
      <c r="AH226" s="15"/>
      <c r="AI226" s="9"/>
      <c r="AJ226" s="9"/>
      <c r="AK226" s="9"/>
      <c r="AL226" s="9"/>
      <c r="AM226" s="9"/>
      <c r="AN226" s="9"/>
    </row>
    <row r="227" spans="1:40" s="8" customFormat="1" ht="17.100000000000001" customHeight="1" x14ac:dyDescent="0.3">
      <c r="A227" s="29" t="s">
        <v>19</v>
      </c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57"/>
      <c r="AH227" s="15"/>
      <c r="AI227" s="9"/>
      <c r="AJ227" s="9"/>
      <c r="AK227" s="9"/>
      <c r="AL227" s="9"/>
      <c r="AM227" s="9"/>
      <c r="AN227" s="9"/>
    </row>
    <row r="228" spans="1:40" s="8" customFormat="1" ht="17.100000000000001" customHeight="1" x14ac:dyDescent="0.3">
      <c r="A228" s="27" t="s">
        <v>18</v>
      </c>
      <c r="B228" s="33">
        <v>1</v>
      </c>
      <c r="C228" s="33">
        <v>2</v>
      </c>
      <c r="D228" s="33">
        <v>3</v>
      </c>
      <c r="E228" s="33">
        <v>4</v>
      </c>
      <c r="F228" s="34">
        <v>5</v>
      </c>
      <c r="G228" s="34">
        <v>6</v>
      </c>
      <c r="H228" s="33">
        <v>7</v>
      </c>
      <c r="I228" s="33">
        <v>8</v>
      </c>
      <c r="J228" s="33">
        <v>9</v>
      </c>
      <c r="K228" s="33">
        <v>10</v>
      </c>
      <c r="L228" s="33">
        <v>11</v>
      </c>
      <c r="M228" s="34">
        <v>12</v>
      </c>
      <c r="N228" s="34">
        <v>13</v>
      </c>
      <c r="O228" s="33">
        <v>14</v>
      </c>
      <c r="P228" s="33">
        <v>15</v>
      </c>
      <c r="Q228" s="33">
        <v>16</v>
      </c>
      <c r="R228" s="33">
        <v>17</v>
      </c>
      <c r="S228" s="33">
        <v>18</v>
      </c>
      <c r="T228" s="34">
        <v>19</v>
      </c>
      <c r="U228" s="34">
        <v>20</v>
      </c>
      <c r="V228" s="46" t="s">
        <v>22</v>
      </c>
      <c r="W228" s="46" t="s">
        <v>22</v>
      </c>
      <c r="X228" s="46" t="s">
        <v>22</v>
      </c>
      <c r="Y228" s="46" t="s">
        <v>22</v>
      </c>
      <c r="Z228" s="48">
        <v>25</v>
      </c>
      <c r="AA228" s="46">
        <v>26</v>
      </c>
      <c r="AB228" s="46">
        <v>27</v>
      </c>
      <c r="AC228" s="46" t="s">
        <v>22</v>
      </c>
      <c r="AD228" s="46" t="s">
        <v>22</v>
      </c>
      <c r="AE228" s="46" t="s">
        <v>22</v>
      </c>
      <c r="AF228" s="46">
        <v>0.5</v>
      </c>
      <c r="AG228" s="57">
        <f t="shared" si="13"/>
        <v>7</v>
      </c>
      <c r="AH228" s="15"/>
      <c r="AI228" s="9"/>
      <c r="AJ228" s="9"/>
      <c r="AK228" s="9"/>
      <c r="AL228" s="9"/>
      <c r="AM228" s="9"/>
      <c r="AN228" s="9"/>
    </row>
    <row r="229" spans="1:40" s="8" customFormat="1" ht="17.100000000000001" customHeight="1" x14ac:dyDescent="0.3">
      <c r="A229" s="16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8"/>
      <c r="AH229" s="15"/>
      <c r="AI229" s="9"/>
      <c r="AJ229" s="9"/>
      <c r="AK229" s="9"/>
      <c r="AL229" s="9"/>
      <c r="AM229" s="9"/>
      <c r="AN229" s="9"/>
    </row>
    <row r="230" spans="1:40" s="8" customFormat="1" ht="17.100000000000001" customHeight="1" x14ac:dyDescent="0.3">
      <c r="A230" s="16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8"/>
      <c r="AH230" s="15"/>
      <c r="AI230" s="9"/>
      <c r="AJ230" s="9"/>
      <c r="AK230" s="9"/>
      <c r="AL230" s="9"/>
      <c r="AM230" s="9"/>
      <c r="AN230" s="9"/>
    </row>
    <row r="231" spans="1:40" s="8" customFormat="1" ht="15" customHeight="1" x14ac:dyDescent="0.3">
      <c r="A231" s="16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8"/>
      <c r="AH231" s="15"/>
      <c r="AI231" s="9"/>
      <c r="AJ231" s="9"/>
      <c r="AK231" s="9"/>
      <c r="AL231" s="9"/>
      <c r="AM231" s="9"/>
      <c r="AN231" s="9"/>
    </row>
    <row r="232" spans="1:40" s="8" customFormat="1" ht="17.100000000000001" customHeight="1" x14ac:dyDescent="0.3">
      <c r="A232" s="16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8"/>
      <c r="AH232" s="15"/>
      <c r="AI232" s="9"/>
      <c r="AJ232" s="9"/>
      <c r="AK232" s="9"/>
      <c r="AL232" s="9"/>
      <c r="AM232" s="9"/>
      <c r="AN232" s="9"/>
    </row>
    <row r="233" spans="1:40" s="8" customFormat="1" ht="17.100000000000001" customHeight="1" x14ac:dyDescent="0.3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4"/>
      <c r="AH233" s="15"/>
      <c r="AI233" s="9"/>
      <c r="AJ233" s="9"/>
      <c r="AK233" s="9"/>
      <c r="AL233" s="9"/>
      <c r="AM233" s="9"/>
      <c r="AN233" s="9"/>
    </row>
    <row r="234" spans="1:40" s="8" customFormat="1" ht="17.100000000000001" customHeight="1" x14ac:dyDescent="0.3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4"/>
      <c r="AH234" s="15"/>
      <c r="AI234" s="9"/>
      <c r="AJ234" s="9"/>
      <c r="AK234" s="9"/>
      <c r="AL234" s="9"/>
      <c r="AM234" s="9"/>
      <c r="AN234" s="9"/>
    </row>
    <row r="235" spans="1:40" s="8" customFormat="1" ht="17.100000000000001" customHeight="1" x14ac:dyDescent="0.3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4"/>
      <c r="AH235" s="15"/>
      <c r="AI235" s="9"/>
      <c r="AJ235" s="9"/>
      <c r="AK235" s="9"/>
      <c r="AL235" s="9"/>
      <c r="AM235" s="9"/>
      <c r="AN235" s="9"/>
    </row>
    <row r="236" spans="1:40" s="8" customFormat="1" ht="17.100000000000001" customHeight="1" x14ac:dyDescent="0.3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4"/>
      <c r="AH236" s="15"/>
      <c r="AI236" s="9"/>
      <c r="AJ236" s="9"/>
      <c r="AK236" s="9"/>
      <c r="AL236" s="9"/>
      <c r="AM236" s="9"/>
      <c r="AN236" s="9"/>
    </row>
    <row r="237" spans="1:40" s="8" customFormat="1" ht="17.100000000000001" customHeight="1" x14ac:dyDescent="0.3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4"/>
      <c r="AH237" s="15"/>
      <c r="AI237" s="9"/>
      <c r="AJ237" s="9"/>
      <c r="AK237" s="9"/>
      <c r="AL237" s="9"/>
      <c r="AM237" s="9"/>
      <c r="AN237" s="9"/>
    </row>
    <row r="238" spans="1:40" s="8" customFormat="1" ht="17.100000000000001" customHeight="1" x14ac:dyDescent="0.3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4"/>
      <c r="AH238" s="15"/>
      <c r="AI238" s="9"/>
      <c r="AJ238" s="9"/>
      <c r="AK238" s="9"/>
      <c r="AL238" s="9"/>
      <c r="AM238" s="9"/>
      <c r="AN238" s="9"/>
    </row>
    <row r="239" spans="1:40" s="8" customFormat="1" ht="17.100000000000001" customHeight="1" x14ac:dyDescent="0.3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4"/>
      <c r="AH239" s="15"/>
      <c r="AI239" s="9"/>
      <c r="AJ239" s="9"/>
      <c r="AK239" s="9"/>
      <c r="AL239" s="9"/>
      <c r="AM239" s="9"/>
      <c r="AN239" s="9"/>
    </row>
    <row r="240" spans="1:40" s="8" customFormat="1" ht="17.100000000000001" customHeight="1" x14ac:dyDescent="0.3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4"/>
      <c r="AI240" s="9"/>
      <c r="AJ240" s="9"/>
      <c r="AK240" s="9"/>
      <c r="AL240" s="9"/>
      <c r="AM240" s="9"/>
      <c r="AN240" s="9"/>
    </row>
    <row r="241" spans="34:40" ht="17.100000000000001" customHeight="1" x14ac:dyDescent="0.25">
      <c r="AH241" s="15"/>
      <c r="AI241" s="9"/>
      <c r="AJ241" s="9"/>
      <c r="AK241" s="9"/>
      <c r="AL241" s="9"/>
      <c r="AM241" s="9"/>
      <c r="AN241" s="9"/>
    </row>
    <row r="242" spans="34:40" ht="17.100000000000001" customHeight="1" x14ac:dyDescent="0.25">
      <c r="AH242" s="15"/>
      <c r="AI242" s="9"/>
      <c r="AJ242" s="9"/>
      <c r="AM242" s="9"/>
      <c r="AN242" s="9"/>
    </row>
    <row r="243" spans="34:40" ht="15" x14ac:dyDescent="0.25">
      <c r="AH243" s="15"/>
      <c r="AI243" s="9"/>
      <c r="AJ243" s="9"/>
      <c r="AM243" s="9"/>
      <c r="AN243" s="9"/>
    </row>
    <row r="244" spans="34:40" ht="15" x14ac:dyDescent="0.25">
      <c r="AH244" s="15"/>
      <c r="AI244" s="9"/>
      <c r="AJ244" s="9"/>
      <c r="AM244" s="9"/>
      <c r="AN244" s="9"/>
    </row>
    <row r="252" spans="34:40" ht="15" x14ac:dyDescent="0.25">
      <c r="AH252" s="15" t="s">
        <v>26</v>
      </c>
    </row>
  </sheetData>
  <mergeCells count="18">
    <mergeCell ref="A1:AG1"/>
    <mergeCell ref="B2:AG2"/>
    <mergeCell ref="B21:AG21"/>
    <mergeCell ref="AD22:AG22"/>
    <mergeCell ref="B78:AG78"/>
    <mergeCell ref="B97:AG97"/>
    <mergeCell ref="AF98:AG98"/>
    <mergeCell ref="B40:AG40"/>
    <mergeCell ref="B59:AG59"/>
    <mergeCell ref="AF60:AG60"/>
    <mergeCell ref="B211:AG211"/>
    <mergeCell ref="B173:AG173"/>
    <mergeCell ref="B192:AG192"/>
    <mergeCell ref="AF193:AG193"/>
    <mergeCell ref="B116:AG116"/>
    <mergeCell ref="B135:AG135"/>
    <mergeCell ref="B154:AG154"/>
    <mergeCell ref="AF155:AG155"/>
  </mergeCells>
  <phoneticPr fontId="0" type="noConversion"/>
  <pageMargins left="0.23622047244094491" right="0.23622047244094491" top="0.74803149606299213" bottom="0.74803149606299213" header="0.31496062992125984" footer="0.31496062992125984"/>
  <pageSetup paperSize="9" scale="65" orientation="landscape" r:id="rId1"/>
  <headerFooter alignWithMargins="0">
    <oddFooter>&amp;A&amp;RPage &amp;P</oddFooter>
  </headerFooter>
  <rowBreaks count="5" manualBreakCount="5">
    <brk id="39" max="32" man="1"/>
    <brk id="77" max="32" man="1"/>
    <brk id="115" max="32" man="1"/>
    <brk id="153" max="32" man="1"/>
    <brk id="191" max="3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37696D9D1D95EC45A9440548E782419D04008C4669C20C93454ABB50E332FADBDDBE" ma:contentTypeVersion="55" ma:contentTypeDescription="Create a new document." ma:contentTypeScope="" ma:versionID="0862fa1d3c98dca9116b8c2bbf050b2c">
  <xsd:schema xmlns:xsd="http://www.w3.org/2001/XMLSchema" xmlns:xs="http://www.w3.org/2001/XMLSchema" xmlns:p="http://schemas.microsoft.com/office/2006/metadata/properties" xmlns:ns2="f105ad54-119a-4495-aa55-0e28b6b4ad2f" xmlns:ns3="c7af2036-029c-470e-8042-297c68a41472" targetNamespace="http://schemas.microsoft.com/office/2006/metadata/properties" ma:root="true" ma:fieldsID="efcf89ea05a71204977c7c6a0a118372" ns2:_="" ns3:_="">
    <xsd:import namespace="f105ad54-119a-4495-aa55-0e28b6b4ad2f"/>
    <xsd:import namespace="c7af2036-029c-470e-8042-297c68a41472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5ad54-119a-4495-aa55-0e28b6b4ad2f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fcc66ca1-c804-4edc-95c8-efd5040409e2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77ED1C39-458B-43CB-92CF-2BB5034D6716}" ma:internalName="CSXSubmissionMarket" ma:readOnly="false" ma:showField="MarketName" ma:web="f105ad54-119a-4495-aa55-0e28b6b4ad2f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6cd481e8-ffbe-48c6-a0d2-a06a66f62d0e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8E76E2C-5BED-4E0E-9D91-D053B66F5ED2}" ma:internalName="InProjectListLookup" ma:readOnly="true" ma:showField="InProjectList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49953ee0-cdd8-4a42-ac76-36ba2a8fee2f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8E76E2C-5BED-4E0E-9D91-D053B66F5ED2}" ma:internalName="LastCompleteVersionLookup" ma:readOnly="true" ma:showField="LastCompleteVersion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8E76E2C-5BED-4E0E-9D91-D053B66F5ED2}" ma:internalName="LastPreviewErrorLookup" ma:readOnly="true" ma:showField="LastPreviewError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8E76E2C-5BED-4E0E-9D91-D053B66F5ED2}" ma:internalName="LastPreviewResultLookup" ma:readOnly="true" ma:showField="LastPreviewResult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8E76E2C-5BED-4E0E-9D91-D053B66F5ED2}" ma:internalName="LastPreviewAttemptDateLookup" ma:readOnly="true" ma:showField="LastPreviewAttemptDate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8E76E2C-5BED-4E0E-9D91-D053B66F5ED2}" ma:internalName="LastPreviewedByLookup" ma:readOnly="true" ma:showField="LastPreviewedBy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8E76E2C-5BED-4E0E-9D91-D053B66F5ED2}" ma:internalName="LastPreviewTimeLookup" ma:readOnly="true" ma:showField="LastPreviewTime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8E76E2C-5BED-4E0E-9D91-D053B66F5ED2}" ma:internalName="LastPreviewVersionLookup" ma:readOnly="true" ma:showField="LastPreviewVersion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8E76E2C-5BED-4E0E-9D91-D053B66F5ED2}" ma:internalName="LastPublishErrorLookup" ma:readOnly="true" ma:showField="LastPublishError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8E76E2C-5BED-4E0E-9D91-D053B66F5ED2}" ma:internalName="LastPublishResultLookup" ma:readOnly="true" ma:showField="LastPublishResult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8E76E2C-5BED-4E0E-9D91-D053B66F5ED2}" ma:internalName="LastPublishAttemptDateLookup" ma:readOnly="true" ma:showField="LastPublishAttemptDate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8E76E2C-5BED-4E0E-9D91-D053B66F5ED2}" ma:internalName="LastPublishedByLookup" ma:readOnly="true" ma:showField="LastPublishedBy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8E76E2C-5BED-4E0E-9D91-D053B66F5ED2}" ma:internalName="LastPublishTimeLookup" ma:readOnly="true" ma:showField="LastPublishTime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8E76E2C-5BED-4E0E-9D91-D053B66F5ED2}" ma:internalName="LastPublishVersionLookup" ma:readOnly="true" ma:showField="LastPublishVersion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F611A6F9-FC3A-482F-805C-5B55AA6502C0}" ma:internalName="LocLastLocAttemptVersionLookup" ma:readOnly="false" ma:showField="LastLocAttemptVersion" ma:web="f105ad54-119a-4495-aa55-0e28b6b4ad2f">
      <xsd:simpleType>
        <xsd:restriction base="dms:Lookup"/>
      </xsd:simpleType>
    </xsd:element>
    <xsd:element name="LocLastLocAttemptVersionTypeLookup" ma:index="72" nillable="true" ma:displayName="Loc Last Loc Attempt Version Type" ma:default="" ma:list="{F611A6F9-FC3A-482F-805C-5B55AA6502C0}" ma:internalName="LocLastLocAttemptVersionTypeLookup" ma:readOnly="true" ma:showField="LastLocAttemptVersionType" ma:web="f105ad54-119a-4495-aa55-0e28b6b4ad2f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F611A6F9-FC3A-482F-805C-5B55AA6502C0}" ma:internalName="LocNewPublishedVersionLookup" ma:readOnly="true" ma:showField="NewPublishedVersion" ma:web="f105ad54-119a-4495-aa55-0e28b6b4ad2f">
      <xsd:simpleType>
        <xsd:restriction base="dms:Lookup"/>
      </xsd:simpleType>
    </xsd:element>
    <xsd:element name="LocOverallHandbackStatusLookup" ma:index="76" nillable="true" ma:displayName="Loc Overall Handback Status" ma:default="" ma:list="{F611A6F9-FC3A-482F-805C-5B55AA6502C0}" ma:internalName="LocOverallHandbackStatusLookup" ma:readOnly="true" ma:showField="OverallHandbackStatus" ma:web="f105ad54-119a-4495-aa55-0e28b6b4ad2f">
      <xsd:simpleType>
        <xsd:restriction base="dms:Lookup"/>
      </xsd:simpleType>
    </xsd:element>
    <xsd:element name="LocOverallLocStatusLookup" ma:index="77" nillable="true" ma:displayName="Loc Overall Localize Status" ma:default="" ma:list="{F611A6F9-FC3A-482F-805C-5B55AA6502C0}" ma:internalName="LocOverallLocStatusLookup" ma:readOnly="true" ma:showField="OverallLocStatus" ma:web="f105ad54-119a-4495-aa55-0e28b6b4ad2f">
      <xsd:simpleType>
        <xsd:restriction base="dms:Lookup"/>
      </xsd:simpleType>
    </xsd:element>
    <xsd:element name="LocOverallPreviewStatusLookup" ma:index="78" nillable="true" ma:displayName="Loc Overall Preview Status" ma:default="" ma:list="{F611A6F9-FC3A-482F-805C-5B55AA6502C0}" ma:internalName="LocOverallPreviewStatusLookup" ma:readOnly="true" ma:showField="OverallPreviewStatus" ma:web="f105ad54-119a-4495-aa55-0e28b6b4ad2f">
      <xsd:simpleType>
        <xsd:restriction base="dms:Lookup"/>
      </xsd:simpleType>
    </xsd:element>
    <xsd:element name="LocOverallPublishStatusLookup" ma:index="79" nillable="true" ma:displayName="Loc Overall Publish Status" ma:default="" ma:list="{F611A6F9-FC3A-482F-805C-5B55AA6502C0}" ma:internalName="LocOverallPublishStatusLookup" ma:readOnly="true" ma:showField="OverallPublishStatus" ma:web="f105ad54-119a-4495-aa55-0e28b6b4ad2f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F611A6F9-FC3A-482F-805C-5B55AA6502C0}" ma:internalName="LocProcessedForHandoffsLookup" ma:readOnly="true" ma:showField="ProcessedForHandoffs" ma:web="f105ad54-119a-4495-aa55-0e28b6b4ad2f">
      <xsd:simpleType>
        <xsd:restriction base="dms:Lookup"/>
      </xsd:simpleType>
    </xsd:element>
    <xsd:element name="LocProcessedForMarketsLookup" ma:index="82" nillable="true" ma:displayName="Loc Processed For Markets" ma:default="" ma:list="{F611A6F9-FC3A-482F-805C-5B55AA6502C0}" ma:internalName="LocProcessedForMarketsLookup" ma:readOnly="true" ma:showField="ProcessedForMarkets" ma:web="f105ad54-119a-4495-aa55-0e28b6b4ad2f">
      <xsd:simpleType>
        <xsd:restriction base="dms:Lookup"/>
      </xsd:simpleType>
    </xsd:element>
    <xsd:element name="LocPublishedDependentAssetsLookup" ma:index="83" nillable="true" ma:displayName="Loc Published Dependent Assets" ma:default="" ma:list="{F611A6F9-FC3A-482F-805C-5B55AA6502C0}" ma:internalName="LocPublishedDependentAssetsLookup" ma:readOnly="true" ma:showField="PublishedDependentAssets" ma:web="f105ad54-119a-4495-aa55-0e28b6b4ad2f">
      <xsd:simpleType>
        <xsd:restriction base="dms:Lookup"/>
      </xsd:simpleType>
    </xsd:element>
    <xsd:element name="LocPublishedLinkedAssetsLookup" ma:index="84" nillable="true" ma:displayName="Loc Published Linked Assets" ma:default="" ma:list="{F611A6F9-FC3A-482F-805C-5B55AA6502C0}" ma:internalName="LocPublishedLinkedAssetsLookup" ma:readOnly="true" ma:showField="PublishedLinkedAssets" ma:web="f105ad54-119a-4495-aa55-0e28b6b4ad2f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e3ccb7f3-e095-4e60-89e4-99358a9e407b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77ED1C39-458B-43CB-92CF-2BB5034D6716}" ma:internalName="Markets" ma:readOnly="false" ma:showField="MarketName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8E76E2C-5BED-4E0E-9D91-D053B66F5ED2}" ma:internalName="NumOfRatingsLookup" ma:readOnly="true" ma:showField="NumOfRatings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8E76E2C-5BED-4E0E-9D91-D053B66F5ED2}" ma:internalName="PublishStatusLookup" ma:readOnly="false" ma:showField="PublishStatus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faf1e1af-89ff-457d-b189-64e47bbed779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14d3419f-9772-4c8d-a0a0-05446c45e95f}" ma:internalName="TaxCatchAll" ma:showField="CatchAllData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14d3419f-9772-4c8d-a0a0-05446c45e95f}" ma:internalName="TaxCatchAllLabel" ma:readOnly="true" ma:showField="CatchAllDataLabel" ma:web="f105ad54-119a-4495-aa55-0e28b6b4a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f2036-029c-470e-8042-297c68a41472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rketSpecific xmlns="f105ad54-119a-4495-aa55-0e28b6b4ad2f">false</MarketSpecific>
    <ApprovalStatus xmlns="f105ad54-119a-4495-aa55-0e28b6b4ad2f">InProgress</ApprovalStatus>
    <LocComments xmlns="f105ad54-119a-4495-aa55-0e28b6b4ad2f" xsi:nil="true"/>
    <DirectSourceMarket xmlns="f105ad54-119a-4495-aa55-0e28b6b4ad2f">english</DirectSourceMarket>
    <ThumbnailAssetId xmlns="f105ad54-119a-4495-aa55-0e28b6b4ad2f" xsi:nil="true"/>
    <PrimaryImageGen xmlns="f105ad54-119a-4495-aa55-0e28b6b4ad2f">true</PrimaryImageGen>
    <LegacyData xmlns="f105ad54-119a-4495-aa55-0e28b6b4ad2f" xsi:nil="true"/>
    <TPFriendlyName xmlns="f105ad54-119a-4495-aa55-0e28b6b4ad2f" xsi:nil="true"/>
    <NumericId xmlns="f105ad54-119a-4495-aa55-0e28b6b4ad2f" xsi:nil="true"/>
    <LocRecommendedHandoff xmlns="f105ad54-119a-4495-aa55-0e28b6b4ad2f" xsi:nil="true"/>
    <BlockPublish xmlns="f105ad54-119a-4495-aa55-0e28b6b4ad2f">false</BlockPublish>
    <BusinessGroup xmlns="f105ad54-119a-4495-aa55-0e28b6b4ad2f" xsi:nil="true"/>
    <OpenTemplate xmlns="f105ad54-119a-4495-aa55-0e28b6b4ad2f">true</OpenTemplate>
    <SourceTitle xmlns="f105ad54-119a-4495-aa55-0e28b6b4ad2f">2010 employee absence schedule</SourceTitle>
    <APEditor xmlns="f105ad54-119a-4495-aa55-0e28b6b4ad2f">
      <UserInfo>
        <DisplayName/>
        <AccountId xsi:nil="true"/>
        <AccountType/>
      </UserInfo>
    </APEditor>
    <UALocComments xmlns="f105ad54-119a-4495-aa55-0e28b6b4ad2f">2007 Template UpLeveling Do Not HandOff</UALocComments>
    <IntlLangReviewDate xmlns="f105ad54-119a-4495-aa55-0e28b6b4ad2f" xsi:nil="true"/>
    <PublishStatusLookup xmlns="f105ad54-119a-4495-aa55-0e28b6b4ad2f">
      <Value>558825</Value>
      <Value>558827</Value>
    </PublishStatusLookup>
    <ParentAssetId xmlns="f105ad54-119a-4495-aa55-0e28b6b4ad2f" xsi:nil="true"/>
    <FeatureTagsTaxHTField0 xmlns="f105ad54-119a-4495-aa55-0e28b6b4ad2f">
      <Terms xmlns="http://schemas.microsoft.com/office/infopath/2007/PartnerControls"/>
    </FeatureTagsTaxHTField0>
    <MachineTranslated xmlns="f105ad54-119a-4495-aa55-0e28b6b4ad2f">false</MachineTranslated>
    <Providers xmlns="f105ad54-119a-4495-aa55-0e28b6b4ad2f" xsi:nil="true"/>
    <OriginalSourceMarket xmlns="f105ad54-119a-4495-aa55-0e28b6b4ad2f">english</OriginalSourceMarket>
    <APDescription xmlns="f105ad54-119a-4495-aa55-0e28b6b4ad2f" xsi:nil="true"/>
    <ContentItem xmlns="f105ad54-119a-4495-aa55-0e28b6b4ad2f" xsi:nil="true"/>
    <ClipArtFilename xmlns="f105ad54-119a-4495-aa55-0e28b6b4ad2f" xsi:nil="true"/>
    <TPInstallLocation xmlns="f105ad54-119a-4495-aa55-0e28b6b4ad2f" xsi:nil="true"/>
    <TimesCloned xmlns="f105ad54-119a-4495-aa55-0e28b6b4ad2f" xsi:nil="true"/>
    <PublishTargets xmlns="f105ad54-119a-4495-aa55-0e28b6b4ad2f">OfficeOnline,OfficeOnlineVNext</PublishTargets>
    <AcquiredFrom xmlns="f105ad54-119a-4495-aa55-0e28b6b4ad2f">Internal MS</AcquiredFrom>
    <AssetStart xmlns="f105ad54-119a-4495-aa55-0e28b6b4ad2f">2012-01-24T16:39:00+00:00</AssetStart>
    <FriendlyTitle xmlns="f105ad54-119a-4495-aa55-0e28b6b4ad2f" xsi:nil="true"/>
    <Provider xmlns="f105ad54-119a-4495-aa55-0e28b6b4ad2f" xsi:nil="true"/>
    <LastHandOff xmlns="f105ad54-119a-4495-aa55-0e28b6b4ad2f" xsi:nil="true"/>
    <Manager xmlns="f105ad54-119a-4495-aa55-0e28b6b4ad2f" xsi:nil="true"/>
    <UALocRecommendation xmlns="f105ad54-119a-4495-aa55-0e28b6b4ad2f">Localize</UALocRecommendation>
    <ArtSampleDocs xmlns="f105ad54-119a-4495-aa55-0e28b6b4ad2f" xsi:nil="true"/>
    <UACurrentWords xmlns="f105ad54-119a-4495-aa55-0e28b6b4ad2f" xsi:nil="true"/>
    <TPClientViewer xmlns="f105ad54-119a-4495-aa55-0e28b6b4ad2f" xsi:nil="true"/>
    <TemplateStatus xmlns="f105ad54-119a-4495-aa55-0e28b6b4ad2f">Complete</TemplateStatus>
    <ShowIn xmlns="f105ad54-119a-4495-aa55-0e28b6b4ad2f">Show everywhere</ShowIn>
    <CSXHash xmlns="f105ad54-119a-4495-aa55-0e28b6b4ad2f" xsi:nil="true"/>
    <Downloads xmlns="f105ad54-119a-4495-aa55-0e28b6b4ad2f">0</Downloads>
    <VoteCount xmlns="f105ad54-119a-4495-aa55-0e28b6b4ad2f" xsi:nil="true"/>
    <OOCacheId xmlns="f105ad54-119a-4495-aa55-0e28b6b4ad2f" xsi:nil="true"/>
    <IsDeleted xmlns="f105ad54-119a-4495-aa55-0e28b6b4ad2f">false</IsDeleted>
    <InternalTagsTaxHTField0 xmlns="f105ad54-119a-4495-aa55-0e28b6b4ad2f">
      <Terms xmlns="http://schemas.microsoft.com/office/infopath/2007/PartnerControls"/>
    </InternalTagsTaxHTField0>
    <UANotes xmlns="f105ad54-119a-4495-aa55-0e28b6b4ad2f">2003 to 2007 conversion</UANotes>
    <AssetExpire xmlns="f105ad54-119a-4495-aa55-0e28b6b4ad2f">2035-01-01T08:00:00+00:00</AssetExpire>
    <CSXSubmissionMarket xmlns="f105ad54-119a-4495-aa55-0e28b6b4ad2f" xsi:nil="true"/>
    <DSATActionTaken xmlns="f105ad54-119a-4495-aa55-0e28b6b4ad2f" xsi:nil="true"/>
    <SubmitterId xmlns="f105ad54-119a-4495-aa55-0e28b6b4ad2f" xsi:nil="true"/>
    <EditorialTags xmlns="f105ad54-119a-4495-aa55-0e28b6b4ad2f" xsi:nil="true"/>
    <TPExecutable xmlns="f105ad54-119a-4495-aa55-0e28b6b4ad2f" xsi:nil="true"/>
    <CSXSubmissionDate xmlns="f105ad54-119a-4495-aa55-0e28b6b4ad2f" xsi:nil="true"/>
    <CSXUpdate xmlns="f105ad54-119a-4495-aa55-0e28b6b4ad2f">false</CSXUpdate>
    <AssetType xmlns="f105ad54-119a-4495-aa55-0e28b6b4ad2f">TP</AssetType>
    <ApprovalLog xmlns="f105ad54-119a-4495-aa55-0e28b6b4ad2f" xsi:nil="true"/>
    <BugNumber xmlns="f105ad54-119a-4495-aa55-0e28b6b4ad2f" xsi:nil="true"/>
    <OriginAsset xmlns="f105ad54-119a-4495-aa55-0e28b6b4ad2f" xsi:nil="true"/>
    <TPComponent xmlns="f105ad54-119a-4495-aa55-0e28b6b4ad2f" xsi:nil="true"/>
    <Milestone xmlns="f105ad54-119a-4495-aa55-0e28b6b4ad2f" xsi:nil="true"/>
    <RecommendationsModifier xmlns="f105ad54-119a-4495-aa55-0e28b6b4ad2f" xsi:nil="true"/>
    <Component xmlns="c7af2036-029c-470e-8042-297c68a41472" xsi:nil="true"/>
    <Description0 xmlns="c7af2036-029c-470e-8042-297c68a41472" xsi:nil="true"/>
    <AssetId xmlns="f105ad54-119a-4495-aa55-0e28b6b4ad2f">TP102819031</AssetId>
    <PolicheckWords xmlns="f105ad54-119a-4495-aa55-0e28b6b4ad2f" xsi:nil="true"/>
    <TPLaunchHelpLink xmlns="f105ad54-119a-4495-aa55-0e28b6b4ad2f" xsi:nil="true"/>
    <IntlLocPriority xmlns="f105ad54-119a-4495-aa55-0e28b6b4ad2f" xsi:nil="true"/>
    <TPApplication xmlns="f105ad54-119a-4495-aa55-0e28b6b4ad2f" xsi:nil="true"/>
    <IntlLangReviewer xmlns="f105ad54-119a-4495-aa55-0e28b6b4ad2f" xsi:nil="true"/>
    <HandoffToMSDN xmlns="f105ad54-119a-4495-aa55-0e28b6b4ad2f" xsi:nil="true"/>
    <PlannedPubDate xmlns="f105ad54-119a-4495-aa55-0e28b6b4ad2f" xsi:nil="true"/>
    <CrawlForDependencies xmlns="f105ad54-119a-4495-aa55-0e28b6b4ad2f">false</CrawlForDependencies>
    <LocLastLocAttemptVersionLookup xmlns="f105ad54-119a-4495-aa55-0e28b6b4ad2f">807024</LocLastLocAttemptVersionLookup>
    <TrustLevel xmlns="f105ad54-119a-4495-aa55-0e28b6b4ad2f">1 Microsoft Managed Content</TrustLevel>
    <CampaignTagsTaxHTField0 xmlns="f105ad54-119a-4495-aa55-0e28b6b4ad2f">
      <Terms xmlns="http://schemas.microsoft.com/office/infopath/2007/PartnerControls"/>
    </CampaignTagsTaxHTField0>
    <TPNamespace xmlns="f105ad54-119a-4495-aa55-0e28b6b4ad2f" xsi:nil="true"/>
    <TaxCatchAll xmlns="f105ad54-119a-4495-aa55-0e28b6b4ad2f"/>
    <IsSearchable xmlns="f105ad54-119a-4495-aa55-0e28b6b4ad2f">true</IsSearchable>
    <TemplateTemplateType xmlns="f105ad54-119a-4495-aa55-0e28b6b4ad2f">Excel 2007 Default</TemplateTemplateType>
    <Markets xmlns="f105ad54-119a-4495-aa55-0e28b6b4ad2f"/>
    <IntlLangReview xmlns="f105ad54-119a-4495-aa55-0e28b6b4ad2f">false</IntlLangReview>
    <UAProjectedTotalWords xmlns="f105ad54-119a-4495-aa55-0e28b6b4ad2f" xsi:nil="true"/>
    <OutputCachingOn xmlns="f105ad54-119a-4495-aa55-0e28b6b4ad2f">false</OutputCachingOn>
    <AverageRating xmlns="f105ad54-119a-4495-aa55-0e28b6b4ad2f" xsi:nil="true"/>
    <LocMarketGroupTiers2 xmlns="f105ad54-119a-4495-aa55-0e28b6b4ad2f">,t:Tier 1,t:Tier 2,t:Tier 3,</LocMarketGroupTiers2>
    <APAuthor xmlns="f105ad54-119a-4495-aa55-0e28b6b4ad2f">
      <UserInfo>
        <DisplayName/>
        <AccountId>2721</AccountId>
        <AccountType/>
      </UserInfo>
    </APAuthor>
    <TPCommandLine xmlns="f105ad54-119a-4495-aa55-0e28b6b4ad2f" xsi:nil="true"/>
    <LocManualTestRequired xmlns="f105ad54-119a-4495-aa55-0e28b6b4ad2f">false</LocManualTestRequired>
    <TPAppVersion xmlns="f105ad54-119a-4495-aa55-0e28b6b4ad2f" xsi:nil="true"/>
    <EditorialStatus xmlns="f105ad54-119a-4495-aa55-0e28b6b4ad2f" xsi:nil="true"/>
    <LastModifiedDateTime xmlns="f105ad54-119a-4495-aa55-0e28b6b4ad2f" xsi:nil="true"/>
    <TPLaunchHelpLinkType xmlns="f105ad54-119a-4495-aa55-0e28b6b4ad2f">Template</TPLaunchHelpLinkType>
    <OriginalRelease xmlns="f105ad54-119a-4495-aa55-0e28b6b4ad2f">14</OriginalRelease>
    <ScenarioTagsTaxHTField0 xmlns="f105ad54-119a-4495-aa55-0e28b6b4ad2f">
      <Terms xmlns="http://schemas.microsoft.com/office/infopath/2007/PartnerControls"/>
    </ScenarioTagsTaxHTField0>
    <LocalizationTagsTaxHTField0 xmlns="f105ad54-119a-4495-aa55-0e28b6b4ad2f">
      <Terms xmlns="http://schemas.microsoft.com/office/infopath/2007/PartnerControls"/>
    </LocalizationTagsTaxHTField0>
  </documentManagement>
</p:properties>
</file>

<file path=customXml/itemProps1.xml><?xml version="1.0" encoding="utf-8"?>
<ds:datastoreItem xmlns:ds="http://schemas.openxmlformats.org/officeDocument/2006/customXml" ds:itemID="{86049508-DC88-4671-811D-8AC3EC035B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39D20B-554B-41AB-82CD-334CAAC27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5ad54-119a-4495-aa55-0e28b6b4ad2f"/>
    <ds:schemaRef ds:uri="c7af2036-029c-470e-8042-297c68a414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7EA406-A172-4196-9DA2-8FFBF6FEA9B5}">
  <ds:schemaRefs>
    <ds:schemaRef ds:uri="http://schemas.microsoft.com/office/2006/documentManagement/types"/>
    <ds:schemaRef ds:uri="c7af2036-029c-470e-8042-297c68a4147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105ad54-119a-4495-aa55-0e28b6b4ad2f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TM02819032</Template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Mitarbeiterabwesenheitsliste</vt:lpstr>
      <vt:lpstr>Mitarbeiterabwesenheitsliste!Druckbereich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Ipek, Skelle</dc:creator>
  <cp:keywords/>
  <dc:description/>
  <cp:lastModifiedBy>Kokles, Roberto</cp:lastModifiedBy>
  <cp:lastPrinted>2026-10-05T08:21:18Z</cp:lastPrinted>
  <dcterms:created xsi:type="dcterms:W3CDTF">2002-04-24T15:42:34Z</dcterms:created>
  <dcterms:modified xsi:type="dcterms:W3CDTF">2026-10-27T12:08:05Z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TC103524781031</vt:lpwstr>
  </property>
  <property fmtid="{D5CDD505-2E9C-101B-9397-08002B2CF9AE}" pid="3" name="InternalTags">
    <vt:lpwstr/>
  </property>
  <property fmtid="{D5CDD505-2E9C-101B-9397-08002B2CF9AE}" pid="4" name="ContentTypeId">
    <vt:lpwstr>0x01010037696D9D1D95EC45A9440548E782419D04008C4669C20C93454ABB50E332FADBDDBE</vt:lpwstr>
  </property>
  <property fmtid="{D5CDD505-2E9C-101B-9397-08002B2CF9AE}" pid="5" name="FeatureTags">
    <vt:lpwstr/>
  </property>
  <property fmtid="{D5CDD505-2E9C-101B-9397-08002B2CF9AE}" pid="6" name="LocalizationTags">
    <vt:lpwstr/>
  </property>
  <property fmtid="{D5CDD505-2E9C-101B-9397-08002B2CF9AE}" pid="7" name="ScenarioTags">
    <vt:lpwstr/>
  </property>
  <property fmtid="{D5CDD505-2E9C-101B-9397-08002B2CF9AE}" pid="8" name="CampaignTags">
    <vt:lpwstr/>
  </property>
  <property fmtid="{D5CDD505-2E9C-101B-9397-08002B2CF9AE}" pid="9" name="Order">
    <vt:r8>13997400</vt:r8>
  </property>
  <property fmtid="{D5CDD505-2E9C-101B-9397-08002B2CF9AE}" pid="10" name="HiddenCategoryTags">
    <vt:lpwstr/>
  </property>
  <property fmtid="{D5CDD505-2E9C-101B-9397-08002B2CF9AE}" pid="11" name="ImageGenStatus">
    <vt:i4>0</vt:i4>
  </property>
  <property fmtid="{D5CDD505-2E9C-101B-9397-08002B2CF9AE}" pid="12" name="CategoryTags">
    <vt:lpwstr/>
  </property>
  <property fmtid="{D5CDD505-2E9C-101B-9397-08002B2CF9AE}" pid="13" name="Applications">
    <vt:lpwstr/>
  </property>
  <property fmtid="{D5CDD505-2E9C-101B-9397-08002B2CF9AE}" pid="14" name="LocMarketGroupTiers">
    <vt:lpwstr>,t:Tier 1,t:Tier 2,t:Tier 3,</vt:lpwstr>
  </property>
</Properties>
</file>